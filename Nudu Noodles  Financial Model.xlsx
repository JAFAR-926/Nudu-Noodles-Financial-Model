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AZY BEST\Downloads\"/>
    </mc:Choice>
  </mc:AlternateContent>
  <xr:revisionPtr revIDLastSave="0" documentId="13_ncr:1_{DD44242E-9985-4B7F-AB3D-BF4EAFBF4284}" xr6:coauthVersionLast="47" xr6:coauthVersionMax="47" xr10:uidLastSave="{00000000-0000-0000-0000-000000000000}"/>
  <bookViews>
    <workbookView xWindow="-104" yWindow="-104" windowWidth="22326" windowHeight="11924" xr2:uid="{FF1D29FF-5C03-4EB0-BAB0-F8C75A084947}"/>
  </bookViews>
  <sheets>
    <sheet name="Cover" sheetId="14" r:id="rId1"/>
    <sheet name="Historical FS" sheetId="15" r:id="rId2"/>
    <sheet name="Summary" sheetId="19" r:id="rId3"/>
    <sheet name="Input" sheetId="16" r:id="rId4"/>
    <sheet name="Scenario" sheetId="17" r:id="rId5"/>
    <sheet name="Model" sheetId="18" r:id="rId6"/>
  </sheets>
  <definedNames>
    <definedName name="L_Scenarios">Scenario!$D$10:$D$12</definedName>
    <definedName name="Million">Input!$G$15</definedName>
    <definedName name="_xlnm.Print_Area" localSheetId="5">Model!$A$1:$P$345</definedName>
    <definedName name="_xlnm.Print_Titles" localSheetId="0">Cover!$1:$6</definedName>
    <definedName name="_xlnm.Print_Titles" localSheetId="3">Input!$1:$6</definedName>
    <definedName name="_xlnm.Print_Titles" localSheetId="5">Model!$1:$6</definedName>
    <definedName name="_xlnm.Print_Titles" localSheetId="4">Scenario!$1:$6</definedName>
    <definedName name="_xlnm.Print_Titles" localSheetId="2">Summary!$1:$6</definedName>
    <definedName name="Scenarioused">Scenario!$D$9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4" i="15" l="1"/>
  <c r="I67" i="15"/>
  <c r="G92" i="15"/>
  <c r="H92" i="15"/>
  <c r="I92" i="15"/>
  <c r="H67" i="15"/>
  <c r="I56" i="15"/>
  <c r="H56" i="15"/>
  <c r="G67" i="15"/>
  <c r="G56" i="15"/>
  <c r="L305" i="18"/>
  <c r="M305" i="18"/>
  <c r="N305" i="18"/>
  <c r="O305" i="18"/>
  <c r="P305" i="18"/>
  <c r="L297" i="18"/>
  <c r="M297" i="18"/>
  <c r="N297" i="18"/>
  <c r="O297" i="18"/>
  <c r="P297" i="18"/>
  <c r="M143" i="18" l="1"/>
  <c r="M139" i="18"/>
  <c r="N137" i="18"/>
  <c r="O137" i="18"/>
  <c r="P137" i="18"/>
  <c r="M137" i="18"/>
  <c r="M147" i="18" s="1"/>
  <c r="M149" i="18" s="1"/>
  <c r="K124" i="18" l="1"/>
  <c r="D126" i="18"/>
  <c r="D124" i="18"/>
  <c r="M122" i="18"/>
  <c r="N122" i="18"/>
  <c r="O122" i="18"/>
  <c r="P122" i="18"/>
  <c r="L122" i="18"/>
  <c r="D122" i="18"/>
  <c r="K151" i="18"/>
  <c r="O36" i="16"/>
  <c r="O141" i="18" s="1"/>
  <c r="P36" i="16"/>
  <c r="P141" i="18" s="1"/>
  <c r="N36" i="16"/>
  <c r="N141" i="18" s="1"/>
  <c r="N139" i="18" s="1"/>
  <c r="D34" i="16"/>
  <c r="P34" i="17"/>
  <c r="P38" i="16" s="1"/>
  <c r="P145" i="18" s="1"/>
  <c r="O34" i="17"/>
  <c r="O38" i="16" s="1"/>
  <c r="O145" i="18" s="1"/>
  <c r="N34" i="17"/>
  <c r="N38" i="16" s="1"/>
  <c r="N145" i="18" s="1"/>
  <c r="N143" i="18" s="1"/>
  <c r="M34" i="17"/>
  <c r="L34" i="17"/>
  <c r="P28" i="17"/>
  <c r="O28" i="17"/>
  <c r="N28" i="17"/>
  <c r="M28" i="17"/>
  <c r="L28" i="17"/>
  <c r="O139" i="18" l="1"/>
  <c r="P139" i="18" s="1"/>
  <c r="O143" i="18"/>
  <c r="N147" i="18"/>
  <c r="N149" i="18" s="1"/>
  <c r="L187" i="18"/>
  <c r="L188" i="18"/>
  <c r="L186" i="18"/>
  <c r="D179" i="18"/>
  <c r="D174" i="18"/>
  <c r="D187" i="18" s="1"/>
  <c r="D175" i="18"/>
  <c r="D188" i="18" s="1"/>
  <c r="D173" i="18"/>
  <c r="D186" i="18" s="1"/>
  <c r="L168" i="18"/>
  <c r="L169" i="18"/>
  <c r="L167" i="18"/>
  <c r="D168" i="18"/>
  <c r="D181" i="18" s="1"/>
  <c r="D169" i="18"/>
  <c r="D182" i="18" s="1"/>
  <c r="D170" i="18"/>
  <c r="D167" i="18"/>
  <c r="D180" i="18" s="1"/>
  <c r="L56" i="16"/>
  <c r="L50" i="16"/>
  <c r="P143" i="18" l="1"/>
  <c r="P147" i="18" s="1"/>
  <c r="P149" i="18" s="1"/>
  <c r="O147" i="18"/>
  <c r="O149" i="18" s="1"/>
  <c r="L189" i="18"/>
  <c r="L170" i="18"/>
  <c r="F28" i="18" l="1"/>
  <c r="F35" i="18"/>
  <c r="F34" i="18"/>
  <c r="F32" i="18"/>
  <c r="F30" i="18"/>
  <c r="D9" i="17"/>
  <c r="K3" i="16" s="1"/>
  <c r="F81" i="19"/>
  <c r="F82" i="19"/>
  <c r="F83" i="19"/>
  <c r="F80" i="19"/>
  <c r="D81" i="19"/>
  <c r="D82" i="19"/>
  <c r="D83" i="19"/>
  <c r="D80" i="19"/>
  <c r="B66" i="19"/>
  <c r="K3" i="19" l="1"/>
  <c r="K3" i="18"/>
  <c r="K3" i="17"/>
  <c r="M58" i="18" l="1"/>
  <c r="N58" i="18"/>
  <c r="O58" i="18"/>
  <c r="P58" i="18"/>
  <c r="M265" i="18"/>
  <c r="N265" i="18"/>
  <c r="O265" i="18"/>
  <c r="P265" i="18"/>
  <c r="L265" i="18"/>
  <c r="D343" i="18"/>
  <c r="D342" i="18"/>
  <c r="D341" i="18"/>
  <c r="D340" i="18"/>
  <c r="M330" i="18"/>
  <c r="N330" i="18"/>
  <c r="O330" i="18"/>
  <c r="P330" i="18"/>
  <c r="L330" i="18"/>
  <c r="M65" i="18"/>
  <c r="M323" i="18" s="1"/>
  <c r="N65" i="18"/>
  <c r="N323" i="18" s="1"/>
  <c r="O65" i="18"/>
  <c r="O323" i="18" s="1"/>
  <c r="P65" i="18"/>
  <c r="P323" i="18" s="1"/>
  <c r="M69" i="18"/>
  <c r="M327" i="18" s="1"/>
  <c r="N69" i="18"/>
  <c r="N327" i="18" s="1"/>
  <c r="O69" i="18"/>
  <c r="O327" i="18" s="1"/>
  <c r="P69" i="18"/>
  <c r="P327" i="18" s="1"/>
  <c r="L69" i="18"/>
  <c r="L327" i="18" s="1"/>
  <c r="L65" i="18"/>
  <c r="L323" i="18" s="1"/>
  <c r="L58" i="18"/>
  <c r="M57" i="18"/>
  <c r="N57" i="18"/>
  <c r="O57" i="18"/>
  <c r="P57" i="18"/>
  <c r="L57" i="18"/>
  <c r="M56" i="18"/>
  <c r="N56" i="18"/>
  <c r="O56" i="18"/>
  <c r="P56" i="18"/>
  <c r="L56" i="18"/>
  <c r="M52" i="18"/>
  <c r="N52" i="18"/>
  <c r="O52" i="18"/>
  <c r="P52" i="18"/>
  <c r="L52" i="18"/>
  <c r="D292" i="18"/>
  <c r="D291" i="18"/>
  <c r="D289" i="18"/>
  <c r="D290" i="18"/>
  <c r="D288" i="18"/>
  <c r="M277" i="18"/>
  <c r="N277" i="18"/>
  <c r="O277" i="18"/>
  <c r="P277" i="18"/>
  <c r="L277" i="18"/>
  <c r="M274" i="18"/>
  <c r="M66" i="18" s="1"/>
  <c r="M324" i="18" s="1"/>
  <c r="N274" i="18"/>
  <c r="N66" i="18" s="1"/>
  <c r="N324" i="18" s="1"/>
  <c r="O274" i="18"/>
  <c r="O66" i="18" s="1"/>
  <c r="O324" i="18" s="1"/>
  <c r="P274" i="18"/>
  <c r="P66" i="18" s="1"/>
  <c r="P324" i="18" s="1"/>
  <c r="L274" i="18"/>
  <c r="M268" i="18"/>
  <c r="N268" i="18"/>
  <c r="O268" i="18"/>
  <c r="P268" i="18"/>
  <c r="L268" i="18"/>
  <c r="L245" i="18"/>
  <c r="M245" i="18"/>
  <c r="N245" i="18"/>
  <c r="O245" i="18"/>
  <c r="P245" i="18"/>
  <c r="M244" i="18"/>
  <c r="N244" i="18"/>
  <c r="O244" i="18"/>
  <c r="P244" i="18"/>
  <c r="L244" i="18"/>
  <c r="L242" i="18"/>
  <c r="M242" i="18"/>
  <c r="N242" i="18"/>
  <c r="O242" i="18"/>
  <c r="P242" i="18"/>
  <c r="L243" i="18"/>
  <c r="M243" i="18"/>
  <c r="N243" i="18"/>
  <c r="O243" i="18"/>
  <c r="P243" i="18"/>
  <c r="M241" i="18"/>
  <c r="N241" i="18"/>
  <c r="O241" i="18"/>
  <c r="P241" i="18"/>
  <c r="L241" i="18"/>
  <c r="D249" i="18"/>
  <c r="D242" i="18" s="1"/>
  <c r="D250" i="18"/>
  <c r="D243" i="18" s="1"/>
  <c r="D253" i="18"/>
  <c r="D244" i="18" s="1"/>
  <c r="D254" i="18"/>
  <c r="D245" i="18" s="1"/>
  <c r="D248" i="18"/>
  <c r="D241" i="18" s="1"/>
  <c r="M222" i="18"/>
  <c r="N222" i="18"/>
  <c r="O222" i="18"/>
  <c r="P222" i="18"/>
  <c r="L222" i="18"/>
  <c r="M219" i="18"/>
  <c r="N219" i="18"/>
  <c r="O219" i="18"/>
  <c r="P219" i="18"/>
  <c r="L219" i="18"/>
  <c r="M24" i="18"/>
  <c r="N24" i="18"/>
  <c r="O24" i="18"/>
  <c r="P24" i="18"/>
  <c r="L24" i="18"/>
  <c r="G202" i="18"/>
  <c r="G201" i="18"/>
  <c r="M197" i="18"/>
  <c r="N197" i="18"/>
  <c r="O197" i="18"/>
  <c r="P197" i="18"/>
  <c r="L197" i="18"/>
  <c r="M18" i="18"/>
  <c r="N18" i="18"/>
  <c r="O18" i="18"/>
  <c r="P18" i="18"/>
  <c r="L18" i="18"/>
  <c r="L193" i="18"/>
  <c r="L15" i="18" s="1"/>
  <c r="I108" i="18"/>
  <c r="J108" i="18"/>
  <c r="K108" i="18"/>
  <c r="K275" i="18" s="1"/>
  <c r="L273" i="18" s="1"/>
  <c r="I109" i="18"/>
  <c r="J109" i="18"/>
  <c r="K109" i="18"/>
  <c r="K283" i="18" s="1"/>
  <c r="L280" i="18" s="1"/>
  <c r="I110" i="18"/>
  <c r="J110" i="18"/>
  <c r="K110" i="18"/>
  <c r="L110" i="18" s="1"/>
  <c r="M110" i="18" s="1"/>
  <c r="N110" i="18" s="1"/>
  <c r="O110" i="18" s="1"/>
  <c r="P110" i="18" s="1"/>
  <c r="J107" i="18"/>
  <c r="K107" i="18"/>
  <c r="K266" i="18" s="1"/>
  <c r="L264" i="18" s="1"/>
  <c r="I107" i="18"/>
  <c r="I100" i="18"/>
  <c r="J100" i="18"/>
  <c r="K100" i="18"/>
  <c r="K299" i="18" s="1"/>
  <c r="I101" i="18"/>
  <c r="J101" i="18"/>
  <c r="K101" i="18"/>
  <c r="I102" i="18"/>
  <c r="J102" i="18"/>
  <c r="K102" i="18"/>
  <c r="L102" i="18" s="1"/>
  <c r="M102" i="18" s="1"/>
  <c r="N102" i="18" s="1"/>
  <c r="O102" i="18" s="1"/>
  <c r="P102" i="18" s="1"/>
  <c r="J99" i="18"/>
  <c r="K99" i="18"/>
  <c r="K307" i="18" s="1"/>
  <c r="I99" i="18"/>
  <c r="I95" i="18"/>
  <c r="J95" i="18"/>
  <c r="K95" i="18"/>
  <c r="I96" i="18"/>
  <c r="J96" i="18"/>
  <c r="K96" i="18"/>
  <c r="J94" i="18"/>
  <c r="K94" i="18"/>
  <c r="K335" i="18" s="1"/>
  <c r="L333" i="18" s="1"/>
  <c r="I94" i="18"/>
  <c r="I86" i="18"/>
  <c r="J86" i="18"/>
  <c r="K86" i="18"/>
  <c r="L86" i="18" s="1"/>
  <c r="M86" i="18" s="1"/>
  <c r="N86" i="18" s="1"/>
  <c r="O86" i="18" s="1"/>
  <c r="P86" i="18" s="1"/>
  <c r="I87" i="18"/>
  <c r="J87" i="18"/>
  <c r="K87" i="18"/>
  <c r="L87" i="18" s="1"/>
  <c r="M87" i="18" s="1"/>
  <c r="N87" i="18" s="1"/>
  <c r="O87" i="18" s="1"/>
  <c r="P87" i="18" s="1"/>
  <c r="I88" i="18"/>
  <c r="J88" i="18"/>
  <c r="K88" i="18"/>
  <c r="L88" i="18" s="1"/>
  <c r="M88" i="18" s="1"/>
  <c r="N88" i="18" s="1"/>
  <c r="O88" i="18" s="1"/>
  <c r="P88" i="18" s="1"/>
  <c r="J85" i="18"/>
  <c r="K85" i="18"/>
  <c r="K198" i="18" s="1"/>
  <c r="I85" i="18"/>
  <c r="I80" i="18"/>
  <c r="J80" i="18"/>
  <c r="K80" i="18"/>
  <c r="I81" i="18"/>
  <c r="J81" i="18"/>
  <c r="K81" i="18"/>
  <c r="I82" i="18"/>
  <c r="J82" i="18"/>
  <c r="K82" i="18"/>
  <c r="D113" i="18"/>
  <c r="D108" i="18"/>
  <c r="D109" i="18"/>
  <c r="D110" i="18"/>
  <c r="D111" i="18"/>
  <c r="D107" i="18"/>
  <c r="D105" i="18"/>
  <c r="D100" i="18"/>
  <c r="D101" i="18"/>
  <c r="D102" i="18"/>
  <c r="D103" i="18"/>
  <c r="D99" i="18"/>
  <c r="D97" i="18"/>
  <c r="D95" i="18"/>
  <c r="D96" i="18"/>
  <c r="D94" i="18"/>
  <c r="D93" i="18"/>
  <c r="D86" i="18"/>
  <c r="D87" i="18"/>
  <c r="D88" i="18"/>
  <c r="D89" i="18"/>
  <c r="D85" i="18"/>
  <c r="D80" i="18"/>
  <c r="D81" i="18"/>
  <c r="D82" i="18"/>
  <c r="D83" i="18"/>
  <c r="D79" i="18"/>
  <c r="D78" i="18"/>
  <c r="I73" i="18"/>
  <c r="I63" i="18"/>
  <c r="J63" i="18"/>
  <c r="K63" i="18"/>
  <c r="I64" i="18"/>
  <c r="J64" i="18"/>
  <c r="K64" i="18"/>
  <c r="I65" i="18"/>
  <c r="J65" i="18"/>
  <c r="K65" i="18"/>
  <c r="I66" i="18"/>
  <c r="J66" i="18"/>
  <c r="K66" i="18"/>
  <c r="I67" i="18"/>
  <c r="J67" i="18"/>
  <c r="K67" i="18"/>
  <c r="I68" i="18"/>
  <c r="J68" i="18"/>
  <c r="K68" i="18"/>
  <c r="I69" i="18"/>
  <c r="J69" i="18"/>
  <c r="K69" i="18"/>
  <c r="J62" i="18"/>
  <c r="K62" i="18"/>
  <c r="I62" i="18"/>
  <c r="I57" i="18"/>
  <c r="J57" i="18"/>
  <c r="K57" i="18"/>
  <c r="I58" i="18"/>
  <c r="J58" i="18"/>
  <c r="K58" i="18"/>
  <c r="J56" i="18"/>
  <c r="K56" i="18"/>
  <c r="I56" i="18"/>
  <c r="I49" i="18"/>
  <c r="J49" i="18"/>
  <c r="K49" i="18"/>
  <c r="I50" i="18"/>
  <c r="J50" i="18"/>
  <c r="K50" i="18"/>
  <c r="I51" i="18"/>
  <c r="J51" i="18"/>
  <c r="K51" i="18"/>
  <c r="I52" i="18"/>
  <c r="J52" i="18"/>
  <c r="K52" i="18"/>
  <c r="D73" i="18"/>
  <c r="D74" i="18"/>
  <c r="D72" i="18"/>
  <c r="D63" i="18"/>
  <c r="D321" i="18" s="1"/>
  <c r="D64" i="18"/>
  <c r="D322" i="18" s="1"/>
  <c r="D65" i="18"/>
  <c r="D323" i="18" s="1"/>
  <c r="D66" i="18"/>
  <c r="D324" i="18" s="1"/>
  <c r="D67" i="18"/>
  <c r="D325" i="18" s="1"/>
  <c r="D68" i="18"/>
  <c r="D326" i="18" s="1"/>
  <c r="D69" i="18"/>
  <c r="D327" i="18" s="1"/>
  <c r="D70" i="18"/>
  <c r="D62" i="18"/>
  <c r="D61" i="18"/>
  <c r="D57" i="18"/>
  <c r="D58" i="18"/>
  <c r="D59" i="18"/>
  <c r="D56" i="18"/>
  <c r="D55" i="18"/>
  <c r="D49" i="18"/>
  <c r="D50" i="18"/>
  <c r="D51" i="18"/>
  <c r="D52" i="18"/>
  <c r="D53" i="18"/>
  <c r="D48" i="18"/>
  <c r="D47" i="18"/>
  <c r="P46" i="17"/>
  <c r="P58" i="16" s="1"/>
  <c r="P161" i="18" s="1"/>
  <c r="O46" i="17"/>
  <c r="O58" i="16" s="1"/>
  <c r="O161" i="18" s="1"/>
  <c r="N46" i="17"/>
  <c r="N58" i="16" s="1"/>
  <c r="N161" i="18" s="1"/>
  <c r="M46" i="17"/>
  <c r="M58" i="16" s="1"/>
  <c r="M161" i="18" s="1"/>
  <c r="L46" i="17"/>
  <c r="L58" i="16" s="1"/>
  <c r="L161" i="18" s="1"/>
  <c r="P40" i="17"/>
  <c r="P42" i="16" s="1"/>
  <c r="P152" i="18" s="1"/>
  <c r="O40" i="17"/>
  <c r="O42" i="16" s="1"/>
  <c r="O152" i="18" s="1"/>
  <c r="N40" i="17"/>
  <c r="N42" i="16" s="1"/>
  <c r="N152" i="18" s="1"/>
  <c r="M40" i="17"/>
  <c r="M42" i="16" s="1"/>
  <c r="M152" i="18" s="1"/>
  <c r="L40" i="17"/>
  <c r="L42" i="16" s="1"/>
  <c r="L152" i="18" s="1"/>
  <c r="L151" i="18" s="1"/>
  <c r="P22" i="17"/>
  <c r="P31" i="16" s="1"/>
  <c r="P130" i="18" s="1"/>
  <c r="O22" i="17"/>
  <c r="O31" i="16" s="1"/>
  <c r="O130" i="18" s="1"/>
  <c r="N22" i="17"/>
  <c r="N31" i="16" s="1"/>
  <c r="N130" i="18" s="1"/>
  <c r="M22" i="17"/>
  <c r="M31" i="16" s="1"/>
  <c r="M130" i="18" s="1"/>
  <c r="L22" i="17"/>
  <c r="L31" i="16" s="1"/>
  <c r="L130" i="18" s="1"/>
  <c r="M16" i="17"/>
  <c r="M30" i="16" s="1"/>
  <c r="M126" i="18" s="1"/>
  <c r="N16" i="17"/>
  <c r="N30" i="16" s="1"/>
  <c r="N126" i="18" s="1"/>
  <c r="O16" i="17"/>
  <c r="O30" i="16" s="1"/>
  <c r="O126" i="18" s="1"/>
  <c r="P16" i="17"/>
  <c r="P30" i="16" s="1"/>
  <c r="P126" i="18" s="1"/>
  <c r="L16" i="17"/>
  <c r="L30" i="16" s="1"/>
  <c r="L126" i="18" s="1"/>
  <c r="L124" i="18" s="1"/>
  <c r="I14" i="18"/>
  <c r="I238" i="18" s="1"/>
  <c r="J14" i="18"/>
  <c r="J238" i="18" s="1"/>
  <c r="K14" i="18"/>
  <c r="K238" i="18" s="1"/>
  <c r="I15" i="18"/>
  <c r="J15" i="18"/>
  <c r="K15" i="18"/>
  <c r="I18" i="18"/>
  <c r="J18" i="18"/>
  <c r="K18" i="18"/>
  <c r="I21" i="18"/>
  <c r="J21" i="18"/>
  <c r="K21" i="18"/>
  <c r="I24" i="18"/>
  <c r="J24" i="18"/>
  <c r="K24" i="18"/>
  <c r="I25" i="18"/>
  <c r="J25" i="18"/>
  <c r="K25" i="18"/>
  <c r="I28" i="18"/>
  <c r="J28" i="18"/>
  <c r="K28" i="18"/>
  <c r="I29" i="18"/>
  <c r="J29" i="18"/>
  <c r="K29" i="18"/>
  <c r="I34" i="18"/>
  <c r="J34" i="18"/>
  <c r="K34" i="18"/>
  <c r="J12" i="18"/>
  <c r="J69" i="19" s="1"/>
  <c r="K12" i="18"/>
  <c r="K128" i="18" s="1"/>
  <c r="K134" i="18" s="1"/>
  <c r="F15" i="18"/>
  <c r="F16" i="18"/>
  <c r="F18" i="18"/>
  <c r="F19" i="18"/>
  <c r="F21" i="18"/>
  <c r="F22" i="18"/>
  <c r="F24" i="18"/>
  <c r="F25" i="18"/>
  <c r="F26" i="18"/>
  <c r="F29" i="18"/>
  <c r="F12" i="18"/>
  <c r="I12" i="18"/>
  <c r="I69" i="19" s="1"/>
  <c r="L107" i="16"/>
  <c r="M107" i="16" s="1"/>
  <c r="N107" i="16" s="1"/>
  <c r="O107" i="16" s="1"/>
  <c r="P107" i="16" s="1"/>
  <c r="P292" i="18" s="1"/>
  <c r="D14" i="18"/>
  <c r="D15" i="18"/>
  <c r="D16" i="18"/>
  <c r="D18" i="18"/>
  <c r="D19" i="18"/>
  <c r="D21" i="18"/>
  <c r="D22" i="18"/>
  <c r="D24" i="18"/>
  <c r="D25" i="18"/>
  <c r="D26" i="18"/>
  <c r="D28" i="18"/>
  <c r="D29" i="18"/>
  <c r="D30" i="18"/>
  <c r="D32" i="18"/>
  <c r="D34" i="18"/>
  <c r="D35" i="18"/>
  <c r="L109" i="16"/>
  <c r="L105" i="16"/>
  <c r="M105" i="16" s="1"/>
  <c r="N105" i="16" s="1"/>
  <c r="O105" i="16" s="1"/>
  <c r="P105" i="16" s="1"/>
  <c r="P289" i="18" s="1"/>
  <c r="L103" i="16"/>
  <c r="M103" i="16" s="1"/>
  <c r="N103" i="16" s="1"/>
  <c r="O103" i="16" s="1"/>
  <c r="P103" i="16" s="1"/>
  <c r="P290" i="18" s="1"/>
  <c r="L111" i="16"/>
  <c r="D12" i="18"/>
  <c r="D89" i="16"/>
  <c r="D90" i="16"/>
  <c r="D91" i="16"/>
  <c r="D92" i="16"/>
  <c r="D88" i="16"/>
  <c r="I85" i="16"/>
  <c r="I254" i="18" s="1"/>
  <c r="J85" i="16"/>
  <c r="J254" i="18" s="1"/>
  <c r="K85" i="16"/>
  <c r="K254" i="18" s="1"/>
  <c r="J84" i="16"/>
  <c r="J253" i="18" s="1"/>
  <c r="K84" i="16"/>
  <c r="K253" i="18" s="1"/>
  <c r="I84" i="16"/>
  <c r="I253" i="18" s="1"/>
  <c r="I82" i="16"/>
  <c r="I249" i="18" s="1"/>
  <c r="J82" i="16"/>
  <c r="J249" i="18" s="1"/>
  <c r="K82" i="16"/>
  <c r="K249" i="18" s="1"/>
  <c r="I83" i="16"/>
  <c r="I250" i="18" s="1"/>
  <c r="J83" i="16"/>
  <c r="J250" i="18" s="1"/>
  <c r="K83" i="16"/>
  <c r="K250" i="18" s="1"/>
  <c r="J81" i="16"/>
  <c r="J248" i="18" s="1"/>
  <c r="K81" i="16"/>
  <c r="K248" i="18" s="1"/>
  <c r="I81" i="16"/>
  <c r="I248" i="18" s="1"/>
  <c r="J78" i="16"/>
  <c r="K78" i="16"/>
  <c r="I78" i="16"/>
  <c r="J77" i="16"/>
  <c r="K77" i="16"/>
  <c r="I77" i="16"/>
  <c r="K6" i="19"/>
  <c r="L6" i="19" s="1"/>
  <c r="B2" i="19"/>
  <c r="L304" i="18" l="1"/>
  <c r="L306" i="18"/>
  <c r="L63" i="18" s="1"/>
  <c r="L296" i="18"/>
  <c r="L298" i="18"/>
  <c r="M124" i="18"/>
  <c r="N124" i="18" s="1"/>
  <c r="O124" i="18" s="1"/>
  <c r="P124" i="18" s="1"/>
  <c r="M151" i="18"/>
  <c r="N151" i="18" s="1"/>
  <c r="O151" i="18" s="1"/>
  <c r="P151" i="18" s="1"/>
  <c r="K162" i="18"/>
  <c r="K155" i="18"/>
  <c r="L128" i="18"/>
  <c r="M128" i="18" s="1"/>
  <c r="M186" i="18"/>
  <c r="M187" i="18"/>
  <c r="M188" i="18"/>
  <c r="M169" i="18"/>
  <c r="M168" i="18"/>
  <c r="M167" i="18"/>
  <c r="K69" i="19"/>
  <c r="K70" i="19" s="1"/>
  <c r="L266" i="18"/>
  <c r="M264" i="18" s="1"/>
  <c r="M266" i="18" s="1"/>
  <c r="L289" i="18"/>
  <c r="O292" i="18"/>
  <c r="K156" i="18"/>
  <c r="O290" i="18"/>
  <c r="L275" i="18"/>
  <c r="L108" i="18" s="1"/>
  <c r="L66" i="18"/>
  <c r="L324" i="18" s="1"/>
  <c r="J70" i="19"/>
  <c r="I251" i="18"/>
  <c r="J6" i="19"/>
  <c r="I6" i="19" s="1"/>
  <c r="L59" i="18"/>
  <c r="L320" i="18" s="1"/>
  <c r="M59" i="18"/>
  <c r="M320" i="18" s="1"/>
  <c r="I255" i="18"/>
  <c r="J237" i="18"/>
  <c r="I237" i="18"/>
  <c r="K237" i="18"/>
  <c r="L204" i="18"/>
  <c r="J111" i="18"/>
  <c r="N59" i="18"/>
  <c r="N320" i="18" s="1"/>
  <c r="O59" i="18"/>
  <c r="O320" i="18" s="1"/>
  <c r="K111" i="18"/>
  <c r="P59" i="18"/>
  <c r="P320" i="18" s="1"/>
  <c r="K255" i="18"/>
  <c r="M111" i="16"/>
  <c r="L288" i="18"/>
  <c r="M109" i="16"/>
  <c r="L291" i="18"/>
  <c r="N290" i="18"/>
  <c r="O289" i="18"/>
  <c r="N292" i="18"/>
  <c r="J255" i="18"/>
  <c r="M290" i="18"/>
  <c r="N289" i="18"/>
  <c r="L292" i="18"/>
  <c r="M292" i="18"/>
  <c r="L290" i="18"/>
  <c r="M289" i="18"/>
  <c r="J251" i="18"/>
  <c r="K251" i="18"/>
  <c r="L228" i="18"/>
  <c r="L29" i="18" s="1"/>
  <c r="L50" i="18" s="1"/>
  <c r="L101" i="18" s="1"/>
  <c r="O228" i="18"/>
  <c r="O29" i="18" s="1"/>
  <c r="O50" i="18" s="1"/>
  <c r="M228" i="18"/>
  <c r="M29" i="18" s="1"/>
  <c r="M50" i="18" s="1"/>
  <c r="N228" i="18"/>
  <c r="N29" i="18" s="1"/>
  <c r="N50" i="18" s="1"/>
  <c r="I208" i="18" a="1"/>
  <c r="I208" i="18" s="1"/>
  <c r="P228" i="18"/>
  <c r="P29" i="18" s="1"/>
  <c r="P50" i="18" s="1"/>
  <c r="M204" i="18"/>
  <c r="O204" i="18"/>
  <c r="N204" i="18"/>
  <c r="P204" i="18"/>
  <c r="M193" i="18"/>
  <c r="I30" i="18"/>
  <c r="K16" i="18"/>
  <c r="K19" i="18" s="1"/>
  <c r="K72" i="19" s="1"/>
  <c r="I59" i="18"/>
  <c r="K30" i="18"/>
  <c r="I16" i="18"/>
  <c r="I19" i="18" s="1"/>
  <c r="I72" i="19" s="1"/>
  <c r="I74" i="19" s="1"/>
  <c r="J59" i="18"/>
  <c r="K70" i="18"/>
  <c r="I97" i="18"/>
  <c r="I111" i="18"/>
  <c r="J103" i="18"/>
  <c r="K103" i="18"/>
  <c r="J70" i="18"/>
  <c r="J30" i="18"/>
  <c r="K89" i="18"/>
  <c r="K97" i="18"/>
  <c r="I103" i="18"/>
  <c r="I89" i="18"/>
  <c r="J16" i="18"/>
  <c r="J19" i="18" s="1"/>
  <c r="J72" i="19" s="1"/>
  <c r="K59" i="18"/>
  <c r="I70" i="18"/>
  <c r="J89" i="18"/>
  <c r="J97" i="18"/>
  <c r="M6" i="19"/>
  <c r="N6" i="19" s="1"/>
  <c r="O6" i="19" s="1"/>
  <c r="P6" i="19" s="1"/>
  <c r="I2" i="19" s="1"/>
  <c r="L321" i="18" l="1"/>
  <c r="L307" i="18"/>
  <c r="L132" i="18"/>
  <c r="L134" i="18" s="1"/>
  <c r="L155" i="18" s="1"/>
  <c r="L299" i="18"/>
  <c r="M298" i="18" s="1"/>
  <c r="M64" i="18" s="1"/>
  <c r="L64" i="18"/>
  <c r="L322" i="18" s="1"/>
  <c r="N128" i="18"/>
  <c r="M132" i="18"/>
  <c r="M134" i="18" s="1"/>
  <c r="M189" i="18"/>
  <c r="N186" i="18"/>
  <c r="N188" i="18"/>
  <c r="N187" i="18"/>
  <c r="N169" i="18"/>
  <c r="N168" i="18"/>
  <c r="L107" i="18"/>
  <c r="M170" i="18"/>
  <c r="N167" i="18"/>
  <c r="L270" i="18"/>
  <c r="L34" i="18" s="1"/>
  <c r="L67" i="18" s="1"/>
  <c r="L325" i="18" s="1"/>
  <c r="L99" i="18"/>
  <c r="M273" i="18"/>
  <c r="M275" i="18" s="1"/>
  <c r="I257" i="18"/>
  <c r="J73" i="19"/>
  <c r="J74" i="19"/>
  <c r="K73" i="19"/>
  <c r="K74" i="19"/>
  <c r="I22" i="18"/>
  <c r="I37" i="18"/>
  <c r="J22" i="18"/>
  <c r="J26" i="18" s="1"/>
  <c r="J32" i="18" s="1"/>
  <c r="J76" i="19" s="1"/>
  <c r="J37" i="18"/>
  <c r="K105" i="18"/>
  <c r="K113" i="18" s="1"/>
  <c r="K22" i="18"/>
  <c r="K26" i="18" s="1"/>
  <c r="K32" i="18" s="1"/>
  <c r="K76" i="19" s="1"/>
  <c r="K37" i="18"/>
  <c r="K257" i="18"/>
  <c r="M101" i="18"/>
  <c r="N101" i="18" s="1"/>
  <c r="O101" i="18" s="1"/>
  <c r="P101" i="18" s="1"/>
  <c r="J257" i="18"/>
  <c r="I105" i="18"/>
  <c r="I113" i="18" s="1"/>
  <c r="N264" i="18"/>
  <c r="N266" i="18" s="1"/>
  <c r="M270" i="18"/>
  <c r="M34" i="18" s="1"/>
  <c r="M67" i="18" s="1"/>
  <c r="M325" i="18" s="1"/>
  <c r="M107" i="18"/>
  <c r="L293" i="18"/>
  <c r="N109" i="16"/>
  <c r="M291" i="18"/>
  <c r="M293" i="18" s="1"/>
  <c r="N111" i="16"/>
  <c r="M288" i="18"/>
  <c r="I211" i="18"/>
  <c r="I209" i="18"/>
  <c r="I210" i="18"/>
  <c r="I212" i="18"/>
  <c r="M15" i="18"/>
  <c r="N193" i="18"/>
  <c r="L156" i="18"/>
  <c r="K157" i="18"/>
  <c r="J105" i="18"/>
  <c r="J113" i="18" s="1"/>
  <c r="L309" i="18" l="1"/>
  <c r="L341" i="18" s="1"/>
  <c r="M296" i="18"/>
  <c r="M306" i="18"/>
  <c r="M63" i="18" s="1"/>
  <c r="M321" i="18" s="1"/>
  <c r="M304" i="18"/>
  <c r="M307" i="18" s="1"/>
  <c r="L301" i="18"/>
  <c r="L340" i="18" s="1"/>
  <c r="L100" i="18"/>
  <c r="L103" i="18" s="1"/>
  <c r="L162" i="18"/>
  <c r="M322" i="18"/>
  <c r="M299" i="18"/>
  <c r="N298" i="18" s="1"/>
  <c r="N64" i="18" s="1"/>
  <c r="M155" i="18"/>
  <c r="M162" i="18"/>
  <c r="O128" i="18"/>
  <c r="N132" i="18"/>
  <c r="N134" i="18" s="1"/>
  <c r="I26" i="18"/>
  <c r="I32" i="18" s="1"/>
  <c r="O188" i="18"/>
  <c r="O186" i="18"/>
  <c r="N189" i="18"/>
  <c r="O187" i="18"/>
  <c r="O168" i="18"/>
  <c r="O169" i="18"/>
  <c r="O167" i="18"/>
  <c r="N170" i="18"/>
  <c r="M108" i="18"/>
  <c r="J259" i="18"/>
  <c r="J78" i="19"/>
  <c r="K78" i="19"/>
  <c r="K77" i="19"/>
  <c r="J35" i="18"/>
  <c r="J39" i="18"/>
  <c r="J80" i="19" s="1"/>
  <c r="J40" i="18"/>
  <c r="J81" i="19" s="1"/>
  <c r="K35" i="18"/>
  <c r="K39" i="18"/>
  <c r="K80" i="19" s="1"/>
  <c r="K40" i="18"/>
  <c r="K81" i="19" s="1"/>
  <c r="K259" i="18"/>
  <c r="O109" i="16"/>
  <c r="N291" i="18"/>
  <c r="N293" i="18" s="1"/>
  <c r="O264" i="18"/>
  <c r="O266" i="18" s="1"/>
  <c r="N107" i="18"/>
  <c r="N270" i="18"/>
  <c r="N34" i="18" s="1"/>
  <c r="N67" i="18" s="1"/>
  <c r="N325" i="18" s="1"/>
  <c r="O111" i="16"/>
  <c r="N288" i="18"/>
  <c r="O193" i="18"/>
  <c r="N15" i="18"/>
  <c r="M156" i="18"/>
  <c r="M99" i="18" l="1"/>
  <c r="N306" i="18"/>
  <c r="N63" i="18" s="1"/>
  <c r="M100" i="18"/>
  <c r="N155" i="18"/>
  <c r="N162" i="18"/>
  <c r="P128" i="18"/>
  <c r="O132" i="18"/>
  <c r="O134" i="18" s="1"/>
  <c r="I76" i="19"/>
  <c r="I78" i="19" s="1"/>
  <c r="I35" i="18"/>
  <c r="I39" i="18"/>
  <c r="I80" i="19" s="1"/>
  <c r="I40" i="18"/>
  <c r="I81" i="19" s="1"/>
  <c r="M309" i="18"/>
  <c r="M341" i="18" s="1"/>
  <c r="N304" i="18"/>
  <c r="P187" i="18"/>
  <c r="P188" i="18"/>
  <c r="P186" i="18"/>
  <c r="O189" i="18"/>
  <c r="P169" i="18"/>
  <c r="P168" i="18"/>
  <c r="P167" i="18"/>
  <c r="O170" i="18"/>
  <c r="N296" i="18"/>
  <c r="N299" i="18" s="1"/>
  <c r="O298" i="18" s="1"/>
  <c r="O64" i="18" s="1"/>
  <c r="M301" i="18"/>
  <c r="M340" i="18" s="1"/>
  <c r="N273" i="18"/>
  <c r="N275" i="18" s="1"/>
  <c r="P264" i="18"/>
  <c r="P266" i="18" s="1"/>
  <c r="O270" i="18"/>
  <c r="O34" i="18" s="1"/>
  <c r="O67" i="18" s="1"/>
  <c r="O325" i="18" s="1"/>
  <c r="O107" i="18"/>
  <c r="P111" i="16"/>
  <c r="P288" i="18" s="1"/>
  <c r="O288" i="18"/>
  <c r="P109" i="16"/>
  <c r="P291" i="18" s="1"/>
  <c r="P293" i="18" s="1"/>
  <c r="O291" i="18"/>
  <c r="O293" i="18" s="1"/>
  <c r="P193" i="18"/>
  <c r="P15" i="18" s="1"/>
  <c r="O15" i="18"/>
  <c r="L157" i="18"/>
  <c r="N156" i="18"/>
  <c r="M103" i="18" l="1"/>
  <c r="N307" i="18"/>
  <c r="O306" i="18" s="1"/>
  <c r="O63" i="18" s="1"/>
  <c r="N321" i="18"/>
  <c r="P132" i="18"/>
  <c r="P162" i="18" s="1"/>
  <c r="O155" i="18"/>
  <c r="O162" i="18"/>
  <c r="L12" i="18"/>
  <c r="L69" i="19" s="1"/>
  <c r="L70" i="19" s="1"/>
  <c r="J77" i="19"/>
  <c r="N322" i="18"/>
  <c r="L182" i="18"/>
  <c r="M182" i="18"/>
  <c r="N182" i="18"/>
  <c r="P182" i="18"/>
  <c r="O182" i="18"/>
  <c r="O180" i="18"/>
  <c r="L173" i="18"/>
  <c r="L175" i="18"/>
  <c r="L174" i="18"/>
  <c r="P189" i="18"/>
  <c r="P170" i="18"/>
  <c r="P180" i="18"/>
  <c r="P181" i="18"/>
  <c r="L180" i="18"/>
  <c r="L181" i="18"/>
  <c r="M180" i="18"/>
  <c r="M181" i="18"/>
  <c r="N180" i="18"/>
  <c r="N181" i="18"/>
  <c r="O181" i="18"/>
  <c r="O273" i="18"/>
  <c r="O275" i="18" s="1"/>
  <c r="N108" i="18"/>
  <c r="P107" i="18"/>
  <c r="P270" i="18"/>
  <c r="P34" i="18" s="1"/>
  <c r="P67" i="18" s="1"/>
  <c r="P325" i="18" s="1"/>
  <c r="M157" i="18"/>
  <c r="M12" i="18" s="1"/>
  <c r="P156" i="18"/>
  <c r="O156" i="18"/>
  <c r="P134" i="18" l="1"/>
  <c r="P155" i="18" s="1"/>
  <c r="L237" i="18"/>
  <c r="N99" i="18"/>
  <c r="O304" i="18"/>
  <c r="O307" i="18" s="1"/>
  <c r="N309" i="18"/>
  <c r="N341" i="18" s="1"/>
  <c r="M174" i="18"/>
  <c r="M173" i="18"/>
  <c r="M175" i="18"/>
  <c r="O183" i="18"/>
  <c r="O191" i="18" s="1"/>
  <c r="O14" i="18" s="1"/>
  <c r="L183" i="18"/>
  <c r="L191" i="18" s="1"/>
  <c r="L14" i="18" s="1"/>
  <c r="P183" i="18"/>
  <c r="P191" i="18" s="1"/>
  <c r="P14" i="18" s="1"/>
  <c r="N183" i="18"/>
  <c r="N191" i="18" s="1"/>
  <c r="N14" i="18" s="1"/>
  <c r="M183" i="18"/>
  <c r="M191" i="18" s="1"/>
  <c r="M14" i="18" s="1"/>
  <c r="P273" i="18"/>
  <c r="O108" i="18"/>
  <c r="M237" i="18"/>
  <c r="M69" i="19"/>
  <c r="M70" i="19" s="1"/>
  <c r="N157" i="18"/>
  <c r="N12" i="18" s="1"/>
  <c r="O321" i="18" l="1"/>
  <c r="N100" i="18"/>
  <c r="N103" i="18" s="1"/>
  <c r="N301" i="18"/>
  <c r="N340" i="18" s="1"/>
  <c r="O296" i="18"/>
  <c r="O299" i="18" s="1"/>
  <c r="P298" i="18" s="1"/>
  <c r="P64" i="18" s="1"/>
  <c r="N174" i="18"/>
  <c r="N173" i="18"/>
  <c r="N175" i="18"/>
  <c r="L16" i="18"/>
  <c r="L19" i="18" s="1"/>
  <c r="L238" i="18"/>
  <c r="M16" i="18"/>
  <c r="M19" i="18" s="1"/>
  <c r="P275" i="18"/>
  <c r="P108" i="18" s="1"/>
  <c r="N237" i="18"/>
  <c r="N69" i="19"/>
  <c r="N70" i="19" s="1"/>
  <c r="O157" i="18"/>
  <c r="O12" i="18" s="1"/>
  <c r="P157" i="18"/>
  <c r="P12" i="18" s="1"/>
  <c r="P306" i="18" l="1"/>
  <c r="P63" i="18" s="1"/>
  <c r="O322" i="18"/>
  <c r="P175" i="18"/>
  <c r="P173" i="18"/>
  <c r="P174" i="18"/>
  <c r="O174" i="18"/>
  <c r="O173" i="18"/>
  <c r="O175" i="18"/>
  <c r="M238" i="18"/>
  <c r="L37" i="18"/>
  <c r="L72" i="19"/>
  <c r="P237" i="18"/>
  <c r="P69" i="19"/>
  <c r="O237" i="18"/>
  <c r="O69" i="19"/>
  <c r="O70" i="19" s="1"/>
  <c r="M37" i="18"/>
  <c r="M72" i="19"/>
  <c r="P304" i="18" l="1"/>
  <c r="P307" i="18" s="1"/>
  <c r="O99" i="18"/>
  <c r="O309" i="18"/>
  <c r="O341" i="18" s="1"/>
  <c r="N16" i="18"/>
  <c r="N19" i="18" s="1"/>
  <c r="N72" i="19" s="1"/>
  <c r="N238" i="18"/>
  <c r="L74" i="19"/>
  <c r="L73" i="19"/>
  <c r="P70" i="19"/>
  <c r="M74" i="19"/>
  <c r="M73" i="19"/>
  <c r="P321" i="18" l="1"/>
  <c r="P296" i="18"/>
  <c r="P299" i="18" s="1"/>
  <c r="O100" i="18"/>
  <c r="O103" i="18" s="1"/>
  <c r="O301" i="18"/>
  <c r="O340" i="18" s="1"/>
  <c r="N37" i="18"/>
  <c r="O238" i="18"/>
  <c r="O16" i="18"/>
  <c r="O19" i="18" s="1"/>
  <c r="O37" i="18" s="1"/>
  <c r="N73" i="19"/>
  <c r="N74" i="19"/>
  <c r="P322" i="18" l="1"/>
  <c r="O72" i="19"/>
  <c r="O73" i="19" s="1"/>
  <c r="P16" i="18"/>
  <c r="P19" i="18" s="1"/>
  <c r="P72" i="19" s="1"/>
  <c r="P238" i="18"/>
  <c r="K6" i="18"/>
  <c r="L6" i="18" s="1"/>
  <c r="L206" i="18" s="1"/>
  <c r="B2" i="18"/>
  <c r="K6" i="17"/>
  <c r="L6" i="17" s="1"/>
  <c r="M6" i="17" s="1"/>
  <c r="N6" i="17" s="1"/>
  <c r="O6" i="17" s="1"/>
  <c r="P6" i="17" s="1"/>
  <c r="I2" i="17" s="1"/>
  <c r="B2" i="17"/>
  <c r="K6" i="16"/>
  <c r="L6" i="16" s="1"/>
  <c r="B2" i="16"/>
  <c r="H114" i="15"/>
  <c r="G114" i="15"/>
  <c r="H106" i="15"/>
  <c r="I106" i="15"/>
  <c r="G106" i="15"/>
  <c r="H100" i="15"/>
  <c r="I100" i="15"/>
  <c r="G100" i="15"/>
  <c r="H80" i="15"/>
  <c r="I80" i="15" s="1"/>
  <c r="H43" i="15"/>
  <c r="I43" i="15" s="1"/>
  <c r="H31" i="15"/>
  <c r="I31" i="15"/>
  <c r="G31" i="15"/>
  <c r="J6" i="17" l="1"/>
  <c r="I6" i="17" s="1"/>
  <c r="P99" i="18"/>
  <c r="P309" i="18"/>
  <c r="P341" i="18" s="1"/>
  <c r="O74" i="19"/>
  <c r="P37" i="18"/>
  <c r="P73" i="19"/>
  <c r="P74" i="19"/>
  <c r="J6" i="16"/>
  <c r="J10" i="16" s="1"/>
  <c r="J74" i="16" s="1"/>
  <c r="J235" i="18" s="1"/>
  <c r="L10" i="16"/>
  <c r="L74" i="16" s="1"/>
  <c r="L235" i="18" s="1"/>
  <c r="M6" i="16"/>
  <c r="K10" i="16"/>
  <c r="K74" i="16" s="1"/>
  <c r="K235" i="18" s="1"/>
  <c r="M6" i="18"/>
  <c r="J6" i="18"/>
  <c r="I6" i="18" s="1"/>
  <c r="I108" i="15"/>
  <c r="I116" i="15" s="1"/>
  <c r="H108" i="15"/>
  <c r="H116" i="15" s="1"/>
  <c r="G108" i="15"/>
  <c r="G116" i="15" s="1"/>
  <c r="P100" i="18" l="1"/>
  <c r="P103" i="18" s="1"/>
  <c r="P301" i="18"/>
  <c r="P340" i="18" s="1"/>
  <c r="L248" i="18"/>
  <c r="L80" i="18" s="1"/>
  <c r="L253" i="18"/>
  <c r="L254" i="18"/>
  <c r="L96" i="18" s="1"/>
  <c r="L249" i="18"/>
  <c r="L81" i="18" s="1"/>
  <c r="L250" i="18"/>
  <c r="L82" i="18" s="1"/>
  <c r="N6" i="18"/>
  <c r="M206" i="18"/>
  <c r="J91" i="16"/>
  <c r="J244" i="18" s="1"/>
  <c r="J89" i="16"/>
  <c r="J242" i="18" s="1"/>
  <c r="J92" i="16"/>
  <c r="J245" i="18" s="1"/>
  <c r="J88" i="16"/>
  <c r="J241" i="18" s="1"/>
  <c r="J90" i="16"/>
  <c r="J243" i="18" s="1"/>
  <c r="K90" i="16"/>
  <c r="K243" i="18" s="1"/>
  <c r="K92" i="16"/>
  <c r="K245" i="18" s="1"/>
  <c r="K88" i="16"/>
  <c r="K241" i="18" s="1"/>
  <c r="K89" i="16"/>
  <c r="K242" i="18" s="1"/>
  <c r="K91" i="16"/>
  <c r="K244" i="18" s="1"/>
  <c r="I6" i="16"/>
  <c r="I10" i="16" s="1"/>
  <c r="I74" i="16" s="1"/>
  <c r="I235" i="18" s="1"/>
  <c r="N6" i="16"/>
  <c r="M10" i="16"/>
  <c r="M74" i="16" s="1"/>
  <c r="M235" i="18" s="1"/>
  <c r="L255" i="18" l="1"/>
  <c r="L95" i="18"/>
  <c r="M248" i="18"/>
  <c r="M80" i="18" s="1"/>
  <c r="M254" i="18"/>
  <c r="M96" i="18" s="1"/>
  <c r="M253" i="18"/>
  <c r="M250" i="18"/>
  <c r="M82" i="18" s="1"/>
  <c r="M249" i="18"/>
  <c r="L251" i="18"/>
  <c r="O6" i="18"/>
  <c r="N206" i="18"/>
  <c r="I88" i="16"/>
  <c r="I91" i="16"/>
  <c r="I92" i="16"/>
  <c r="I89" i="16"/>
  <c r="I90" i="16"/>
  <c r="O6" i="16"/>
  <c r="N10" i="16"/>
  <c r="N74" i="16" s="1"/>
  <c r="N235" i="18" s="1"/>
  <c r="H10" i="15"/>
  <c r="I10" i="15"/>
  <c r="H11" i="15"/>
  <c r="I11" i="15"/>
  <c r="G11" i="15"/>
  <c r="G10" i="15"/>
  <c r="I9" i="15"/>
  <c r="H9" i="15"/>
  <c r="H17" i="15"/>
  <c r="H20" i="15" s="1"/>
  <c r="H23" i="15" s="1"/>
  <c r="H27" i="15" s="1"/>
  <c r="H33" i="15" s="1"/>
  <c r="I17" i="15"/>
  <c r="I20" i="15" s="1"/>
  <c r="I23" i="15" s="1"/>
  <c r="I27" i="15" s="1"/>
  <c r="I33" i="15" s="1"/>
  <c r="G17" i="15"/>
  <c r="G20" i="15" s="1"/>
  <c r="G23" i="15" s="1"/>
  <c r="H7" i="15"/>
  <c r="I7" i="15" s="1"/>
  <c r="I36" i="15" l="1"/>
  <c r="I45" i="15"/>
  <c r="H36" i="15"/>
  <c r="H45" i="15"/>
  <c r="I245" i="18"/>
  <c r="I244" i="18"/>
  <c r="I243" i="18"/>
  <c r="I241" i="18"/>
  <c r="I242" i="18"/>
  <c r="L257" i="18"/>
  <c r="L259" i="18" s="1"/>
  <c r="L51" i="18" s="1"/>
  <c r="G27" i="15"/>
  <c r="G33" i="15" s="1"/>
  <c r="M251" i="18"/>
  <c r="M81" i="18"/>
  <c r="M255" i="18"/>
  <c r="M95" i="18"/>
  <c r="N248" i="18"/>
  <c r="N80" i="18" s="1"/>
  <c r="N254" i="18"/>
  <c r="N96" i="18" s="1"/>
  <c r="N253" i="18"/>
  <c r="N95" i="18" s="1"/>
  <c r="N250" i="18"/>
  <c r="N82" i="18" s="1"/>
  <c r="N249" i="18"/>
  <c r="P6" i="18"/>
  <c r="O206" i="18"/>
  <c r="P6" i="16"/>
  <c r="O10" i="16"/>
  <c r="O74" i="16" s="1"/>
  <c r="O235" i="18" s="1"/>
  <c r="G36" i="15" l="1"/>
  <c r="G45" i="15"/>
  <c r="H50" i="15"/>
  <c r="H69" i="15" s="1"/>
  <c r="J48" i="18"/>
  <c r="J53" i="18" s="1"/>
  <c r="I50" i="15"/>
  <c r="I69" i="15" s="1"/>
  <c r="K72" i="18" s="1"/>
  <c r="K48" i="18"/>
  <c r="K53" i="18" s="1"/>
  <c r="M257" i="18"/>
  <c r="M259" i="18" s="1"/>
  <c r="M51" i="18" s="1"/>
  <c r="N251" i="18"/>
  <c r="N81" i="18"/>
  <c r="N255" i="18"/>
  <c r="O248" i="18"/>
  <c r="O80" i="18" s="1"/>
  <c r="O254" i="18"/>
  <c r="O96" i="18" s="1"/>
  <c r="O250" i="18"/>
  <c r="O82" i="18" s="1"/>
  <c r="O249" i="18"/>
  <c r="O81" i="18" s="1"/>
  <c r="O253" i="18"/>
  <c r="O95" i="18" s="1"/>
  <c r="I2" i="18"/>
  <c r="P206" i="18"/>
  <c r="P10" i="16"/>
  <c r="P74" i="16" s="1"/>
  <c r="P235" i="18" s="1"/>
  <c r="I2" i="16"/>
  <c r="J72" i="18" l="1"/>
  <c r="G50" i="15"/>
  <c r="G69" i="15" s="1"/>
  <c r="G71" i="15" s="1"/>
  <c r="I48" i="18"/>
  <c r="I53" i="18" s="1"/>
  <c r="I72" i="18" s="1"/>
  <c r="I74" i="18" s="1"/>
  <c r="N257" i="18"/>
  <c r="N259" i="18" s="1"/>
  <c r="N51" i="18" s="1"/>
  <c r="P248" i="18"/>
  <c r="P80" i="18" s="1"/>
  <c r="P249" i="18"/>
  <c r="P81" i="18" s="1"/>
  <c r="P254" i="18"/>
  <c r="P96" i="18" s="1"/>
  <c r="P253" i="18"/>
  <c r="P250" i="18"/>
  <c r="P82" i="18" s="1"/>
  <c r="O255" i="18"/>
  <c r="O251" i="18"/>
  <c r="J208" i="18" a="1"/>
  <c r="G82" i="15" l="1"/>
  <c r="H70" i="15"/>
  <c r="O257" i="18"/>
  <c r="O259" i="18" s="1"/>
  <c r="O51" i="18" s="1"/>
  <c r="P255" i="18"/>
  <c r="P95" i="18"/>
  <c r="P251" i="18"/>
  <c r="J208" i="18"/>
  <c r="L208" i="18" s="1"/>
  <c r="J211" i="18"/>
  <c r="J212" i="18"/>
  <c r="P212" i="18" s="1"/>
  <c r="J209" i="18"/>
  <c r="J210" i="18"/>
  <c r="J73" i="18" l="1"/>
  <c r="J74" i="18" s="1"/>
  <c r="H71" i="15"/>
  <c r="G86" i="15"/>
  <c r="G94" i="15" s="1"/>
  <c r="G118" i="15" s="1"/>
  <c r="I79" i="18"/>
  <c r="I83" i="18" s="1"/>
  <c r="I91" i="18" s="1"/>
  <c r="P257" i="18"/>
  <c r="P259" i="18" s="1"/>
  <c r="P51" i="18" s="1"/>
  <c r="M209" i="18"/>
  <c r="N209" i="18"/>
  <c r="O209" i="18"/>
  <c r="P209" i="18"/>
  <c r="O211" i="18"/>
  <c r="P211" i="18"/>
  <c r="N210" i="18"/>
  <c r="O210" i="18"/>
  <c r="P210" i="18"/>
  <c r="L213" i="18"/>
  <c r="M208" i="18"/>
  <c r="N208" i="18"/>
  <c r="O208" i="18"/>
  <c r="P208" i="18"/>
  <c r="I41" i="18" l="1"/>
  <c r="I82" i="19" s="1"/>
  <c r="I42" i="18"/>
  <c r="I83" i="19" s="1"/>
  <c r="I115" i="18"/>
  <c r="H82" i="15"/>
  <c r="I70" i="15"/>
  <c r="M213" i="18"/>
  <c r="M215" i="18" s="1"/>
  <c r="M21" i="18" s="1"/>
  <c r="M22" i="18" s="1"/>
  <c r="L215" i="18"/>
  <c r="L21" i="18" s="1"/>
  <c r="L22" i="18" s="1"/>
  <c r="N213" i="18"/>
  <c r="N215" i="18" s="1"/>
  <c r="N21" i="18" s="1"/>
  <c r="P213" i="18"/>
  <c r="P215" i="18" s="1"/>
  <c r="P21" i="18" s="1"/>
  <c r="O213" i="18"/>
  <c r="O215" i="18" s="1"/>
  <c r="O21" i="18" s="1"/>
  <c r="H86" i="15" l="1"/>
  <c r="H94" i="15" s="1"/>
  <c r="H118" i="15" s="1"/>
  <c r="J79" i="18"/>
  <c r="J83" i="18" s="1"/>
  <c r="J91" i="18" s="1"/>
  <c r="I71" i="15"/>
  <c r="I82" i="15" s="1"/>
  <c r="K73" i="18"/>
  <c r="K74" i="18" s="1"/>
  <c r="L73" i="18" s="1"/>
  <c r="M49" i="18"/>
  <c r="L49" i="18"/>
  <c r="L85" i="18" s="1"/>
  <c r="O22" i="18"/>
  <c r="O49" i="18"/>
  <c r="P22" i="18"/>
  <c r="P49" i="18"/>
  <c r="N22" i="18"/>
  <c r="N49" i="18"/>
  <c r="I86" i="15" l="1"/>
  <c r="I94" i="15" s="1"/>
  <c r="I118" i="15" s="1"/>
  <c r="K79" i="18"/>
  <c r="J42" i="18"/>
  <c r="J83" i="19" s="1"/>
  <c r="J115" i="18"/>
  <c r="J41" i="18"/>
  <c r="J82" i="19" s="1"/>
  <c r="L89" i="18"/>
  <c r="M85" i="18"/>
  <c r="K83" i="18" l="1"/>
  <c r="K91" i="18" s="1"/>
  <c r="K314" i="18"/>
  <c r="L312" i="18" s="1"/>
  <c r="M89" i="18"/>
  <c r="N85" i="18"/>
  <c r="K41" i="18" l="1"/>
  <c r="K82" i="19" s="1"/>
  <c r="K115" i="18"/>
  <c r="K42" i="18"/>
  <c r="K83" i="19" s="1"/>
  <c r="O85" i="18"/>
  <c r="N89" i="18"/>
  <c r="P85" i="18" l="1"/>
  <c r="P89" i="18" s="1"/>
  <c r="O89" i="18"/>
  <c r="I3" i="16" l="1"/>
  <c r="I3" i="18"/>
  <c r="L25" i="18"/>
  <c r="M25" i="18"/>
  <c r="N25" i="18"/>
  <c r="O25" i="18"/>
  <c r="P25" i="18"/>
  <c r="L26" i="18"/>
  <c r="M26" i="18"/>
  <c r="N26" i="18"/>
  <c r="O26" i="18"/>
  <c r="P26" i="18"/>
  <c r="L28" i="18"/>
  <c r="M28" i="18"/>
  <c r="N28" i="18"/>
  <c r="O28" i="18"/>
  <c r="P28" i="18"/>
  <c r="L30" i="18"/>
  <c r="M30" i="18"/>
  <c r="N30" i="18"/>
  <c r="O30" i="18"/>
  <c r="P30" i="18"/>
  <c r="L32" i="18"/>
  <c r="M32" i="18"/>
  <c r="N32" i="18"/>
  <c r="O32" i="18"/>
  <c r="P32" i="18"/>
  <c r="L35" i="18"/>
  <c r="M35" i="18"/>
  <c r="N35" i="18"/>
  <c r="O35" i="18"/>
  <c r="P35" i="18"/>
  <c r="L39" i="18"/>
  <c r="M39" i="18"/>
  <c r="N39" i="18"/>
  <c r="O39" i="18"/>
  <c r="P39" i="18"/>
  <c r="L40" i="18"/>
  <c r="M40" i="18"/>
  <c r="N40" i="18"/>
  <c r="O40" i="18"/>
  <c r="P40" i="18"/>
  <c r="L41" i="18"/>
  <c r="M41" i="18"/>
  <c r="N41" i="18"/>
  <c r="O41" i="18"/>
  <c r="P41" i="18"/>
  <c r="L42" i="18"/>
  <c r="M42" i="18"/>
  <c r="N42" i="18"/>
  <c r="O42" i="18"/>
  <c r="P42" i="18"/>
  <c r="L48" i="18"/>
  <c r="M48" i="18"/>
  <c r="N48" i="18"/>
  <c r="O48" i="18"/>
  <c r="P48" i="18"/>
  <c r="L53" i="18"/>
  <c r="M53" i="18"/>
  <c r="N53" i="18"/>
  <c r="O53" i="18"/>
  <c r="P53" i="18"/>
  <c r="L62" i="18"/>
  <c r="M62" i="18"/>
  <c r="N62" i="18"/>
  <c r="O62" i="18"/>
  <c r="P62" i="18"/>
  <c r="L68" i="18"/>
  <c r="M68" i="18"/>
  <c r="N68" i="18"/>
  <c r="O68" i="18"/>
  <c r="P68" i="18"/>
  <c r="L70" i="18"/>
  <c r="M70" i="18"/>
  <c r="N70" i="18"/>
  <c r="O70" i="18"/>
  <c r="P70" i="18"/>
  <c r="L72" i="18"/>
  <c r="M72" i="18"/>
  <c r="N72" i="18"/>
  <c r="O72" i="18"/>
  <c r="P72" i="18"/>
  <c r="M73" i="18"/>
  <c r="N73" i="18"/>
  <c r="O73" i="18"/>
  <c r="P73" i="18"/>
  <c r="L74" i="18"/>
  <c r="M74" i="18"/>
  <c r="N74" i="18"/>
  <c r="O74" i="18"/>
  <c r="P74" i="18"/>
  <c r="L79" i="18"/>
  <c r="M79" i="18"/>
  <c r="N79" i="18"/>
  <c r="O79" i="18"/>
  <c r="P79" i="18"/>
  <c r="L83" i="18"/>
  <c r="M83" i="18"/>
  <c r="N83" i="18"/>
  <c r="O83" i="18"/>
  <c r="P83" i="18"/>
  <c r="L91" i="18"/>
  <c r="M91" i="18"/>
  <c r="N91" i="18"/>
  <c r="O91" i="18"/>
  <c r="P91" i="18"/>
  <c r="L94" i="18"/>
  <c r="M94" i="18"/>
  <c r="N94" i="18"/>
  <c r="O94" i="18"/>
  <c r="P94" i="18"/>
  <c r="L97" i="18"/>
  <c r="M97" i="18"/>
  <c r="N97" i="18"/>
  <c r="O97" i="18"/>
  <c r="P97" i="18"/>
  <c r="L105" i="18"/>
  <c r="M105" i="18"/>
  <c r="N105" i="18"/>
  <c r="O105" i="18"/>
  <c r="P105" i="18"/>
  <c r="L109" i="18"/>
  <c r="M109" i="18"/>
  <c r="N109" i="18"/>
  <c r="O109" i="18"/>
  <c r="P109" i="18"/>
  <c r="L111" i="18"/>
  <c r="M111" i="18"/>
  <c r="N111" i="18"/>
  <c r="O111" i="18"/>
  <c r="P111" i="18"/>
  <c r="L113" i="18"/>
  <c r="M113" i="18"/>
  <c r="N113" i="18"/>
  <c r="O113" i="18"/>
  <c r="P113" i="18"/>
  <c r="F115" i="18"/>
  <c r="L115" i="18"/>
  <c r="M115" i="18"/>
  <c r="N115" i="18"/>
  <c r="O115" i="18"/>
  <c r="P115" i="18"/>
  <c r="L221" i="18"/>
  <c r="M221" i="18"/>
  <c r="N221" i="18"/>
  <c r="O221" i="18"/>
  <c r="P221" i="18"/>
  <c r="L223" i="18"/>
  <c r="M223" i="18"/>
  <c r="N223" i="18"/>
  <c r="O223" i="18"/>
  <c r="P223" i="18"/>
  <c r="L225" i="18"/>
  <c r="M225" i="18"/>
  <c r="N225" i="18"/>
  <c r="O225" i="18"/>
  <c r="P225" i="18"/>
  <c r="L227" i="18"/>
  <c r="M227" i="18"/>
  <c r="N227" i="18"/>
  <c r="O227" i="18"/>
  <c r="P227" i="18"/>
  <c r="L229" i="18"/>
  <c r="M229" i="18"/>
  <c r="N229" i="18"/>
  <c r="O229" i="18"/>
  <c r="P229" i="18"/>
  <c r="L231" i="18"/>
  <c r="M231" i="18"/>
  <c r="N231" i="18"/>
  <c r="O231" i="18"/>
  <c r="P231" i="18"/>
  <c r="M280" i="18"/>
  <c r="N280" i="18"/>
  <c r="O280" i="18"/>
  <c r="P280" i="18"/>
  <c r="L281" i="18"/>
  <c r="M281" i="18"/>
  <c r="N281" i="18"/>
  <c r="O281" i="18"/>
  <c r="P281" i="18"/>
  <c r="L282" i="18"/>
  <c r="M282" i="18"/>
  <c r="N282" i="18"/>
  <c r="O282" i="18"/>
  <c r="P282" i="18"/>
  <c r="L283" i="18"/>
  <c r="M283" i="18"/>
  <c r="N283" i="18"/>
  <c r="O283" i="18"/>
  <c r="P283" i="18"/>
  <c r="M312" i="18"/>
  <c r="N312" i="18"/>
  <c r="O312" i="18"/>
  <c r="P312" i="18"/>
  <c r="L313" i="18"/>
  <c r="M313" i="18"/>
  <c r="N313" i="18"/>
  <c r="O313" i="18"/>
  <c r="P313" i="18"/>
  <c r="L314" i="18"/>
  <c r="M314" i="18"/>
  <c r="N314" i="18"/>
  <c r="O314" i="18"/>
  <c r="P314" i="18"/>
  <c r="L316" i="18"/>
  <c r="M316" i="18"/>
  <c r="N316" i="18"/>
  <c r="O316" i="18"/>
  <c r="P316" i="18"/>
  <c r="L319" i="18"/>
  <c r="M319" i="18"/>
  <c r="N319" i="18"/>
  <c r="O319" i="18"/>
  <c r="P319" i="18"/>
  <c r="L326" i="18"/>
  <c r="M326" i="18"/>
  <c r="N326" i="18"/>
  <c r="O326" i="18"/>
  <c r="P326" i="18"/>
  <c r="L328" i="18"/>
  <c r="M328" i="18"/>
  <c r="N328" i="18"/>
  <c r="O328" i="18"/>
  <c r="P328" i="18"/>
  <c r="M333" i="18"/>
  <c r="N333" i="18"/>
  <c r="O333" i="18"/>
  <c r="P333" i="18"/>
  <c r="L334" i="18"/>
  <c r="M334" i="18"/>
  <c r="N334" i="18"/>
  <c r="O334" i="18"/>
  <c r="P334" i="18"/>
  <c r="L335" i="18"/>
  <c r="M335" i="18"/>
  <c r="N335" i="18"/>
  <c r="O335" i="18"/>
  <c r="P335" i="18"/>
  <c r="L337" i="18"/>
  <c r="M337" i="18"/>
  <c r="N337" i="18"/>
  <c r="O337" i="18"/>
  <c r="P337" i="18"/>
  <c r="L342" i="18"/>
  <c r="M342" i="18"/>
  <c r="N342" i="18"/>
  <c r="O342" i="18"/>
  <c r="P342" i="18"/>
  <c r="L343" i="18"/>
  <c r="M343" i="18"/>
  <c r="N343" i="18"/>
  <c r="O343" i="18"/>
  <c r="P343" i="18"/>
  <c r="L344" i="18"/>
  <c r="M344" i="18"/>
  <c r="N344" i="18"/>
  <c r="O344" i="18"/>
  <c r="P344" i="18"/>
  <c r="I3" i="17"/>
  <c r="I3" i="19"/>
  <c r="L76" i="19"/>
  <c r="M76" i="19"/>
  <c r="N76" i="19"/>
  <c r="O76" i="19"/>
  <c r="P76" i="19"/>
  <c r="L77" i="19"/>
  <c r="M77" i="19"/>
  <c r="N77" i="19"/>
  <c r="O77" i="19"/>
  <c r="P77" i="19"/>
  <c r="L78" i="19"/>
  <c r="M78" i="19"/>
  <c r="N78" i="19"/>
  <c r="O78" i="19"/>
  <c r="P78" i="19"/>
  <c r="L80" i="19"/>
  <c r="M80" i="19"/>
  <c r="N80" i="19"/>
  <c r="O80" i="19"/>
  <c r="P80" i="19"/>
  <c r="L81" i="19"/>
  <c r="M81" i="19"/>
  <c r="N81" i="19"/>
  <c r="O81" i="19"/>
  <c r="P81" i="19"/>
  <c r="L82" i="19"/>
  <c r="M82" i="19"/>
  <c r="N82" i="19"/>
  <c r="O82" i="19"/>
  <c r="P82" i="19"/>
  <c r="L83" i="19"/>
  <c r="M83" i="19"/>
  <c r="N83" i="19"/>
  <c r="O83" i="19"/>
  <c r="P83" i="19"/>
</calcChain>
</file>

<file path=xl/sharedStrings.xml><?xml version="1.0" encoding="utf-8"?>
<sst xmlns="http://schemas.openxmlformats.org/spreadsheetml/2006/main" count="827" uniqueCount="261">
  <si>
    <t>Circularity:</t>
  </si>
  <si>
    <t>Base year</t>
  </si>
  <si>
    <t>Ver 1.01</t>
  </si>
  <si>
    <t>Net interest expense line of the P&amp;L</t>
  </si>
  <si>
    <t>Modeller:</t>
  </si>
  <si>
    <t>Version:</t>
  </si>
  <si>
    <t>Income Statement</t>
  </si>
  <si>
    <t>[$'millions]</t>
  </si>
  <si>
    <t>Revenue growth</t>
  </si>
  <si>
    <t>COGS [% of revenue]</t>
  </si>
  <si>
    <t>SG&amp;A [% of revenue]</t>
  </si>
  <si>
    <t>Revenue</t>
  </si>
  <si>
    <t>Cost of sales</t>
  </si>
  <si>
    <t>SG&amp;A</t>
  </si>
  <si>
    <t>Total costs</t>
  </si>
  <si>
    <t>Cost adjustments -Gain/(loss)</t>
  </si>
  <si>
    <t>EBITDA</t>
  </si>
  <si>
    <t>Depreciation</t>
  </si>
  <si>
    <t>EBIT</t>
  </si>
  <si>
    <t>Net Interest Expense</t>
  </si>
  <si>
    <t>[$'m]</t>
  </si>
  <si>
    <t>[%]</t>
  </si>
  <si>
    <t>EBT</t>
  </si>
  <si>
    <t>Current Taxes</t>
  </si>
  <si>
    <t>Deferred Income Taxes</t>
  </si>
  <si>
    <t>Total Income Taxes</t>
  </si>
  <si>
    <t>Net Income</t>
  </si>
  <si>
    <t>Preferred dividend</t>
  </si>
  <si>
    <t>Net Income to Common</t>
  </si>
  <si>
    <t>Cash Flow Statement</t>
  </si>
  <si>
    <t>Operating Activities</t>
  </si>
  <si>
    <t>Changes in Working Capital</t>
  </si>
  <si>
    <t>Other</t>
  </si>
  <si>
    <t>Operating Cash Flow</t>
  </si>
  <si>
    <t>Investing Activities</t>
  </si>
  <si>
    <t>CAPEX</t>
  </si>
  <si>
    <t>Asset Dispositions</t>
  </si>
  <si>
    <t>Investing Cash Flow</t>
  </si>
  <si>
    <t>Financing Activities</t>
  </si>
  <si>
    <t>Revolver Issuance / (Repayment)</t>
  </si>
  <si>
    <t>Variable Rate Long Term Debt Issuance / (Repayment)</t>
  </si>
  <si>
    <t>Fixed Rate Long Term Debt Issuance / (Repayment)</t>
  </si>
  <si>
    <t>Preferred  Share Issuance/ (Buy-Back)</t>
  </si>
  <si>
    <t>Common Share Issuance/ (Buy-Back)</t>
  </si>
  <si>
    <t>Preferred Dividends</t>
  </si>
  <si>
    <t>Common Dividends</t>
  </si>
  <si>
    <t>Financing Cash Flow</t>
  </si>
  <si>
    <t>Change in Cash Position</t>
  </si>
  <si>
    <t>Beginning Cash</t>
  </si>
  <si>
    <t>Ending Cash</t>
  </si>
  <si>
    <t>Balance Sheet</t>
  </si>
  <si>
    <t>ASSETS</t>
  </si>
  <si>
    <t>Cash and Equivalents</t>
  </si>
  <si>
    <t>Accounts Receivable</t>
  </si>
  <si>
    <t>Inventory</t>
  </si>
  <si>
    <t>Total Current Assets</t>
  </si>
  <si>
    <t>Net PP&amp;E</t>
  </si>
  <si>
    <t>Goodwill</t>
  </si>
  <si>
    <t>Intangibles</t>
  </si>
  <si>
    <t>Total Long Term Assets</t>
  </si>
  <si>
    <t>Total Assets</t>
  </si>
  <si>
    <t>LIABILITIES AND EQUITY</t>
  </si>
  <si>
    <t>Bank Debt - Revolver</t>
  </si>
  <si>
    <t>Accounts Payable</t>
  </si>
  <si>
    <t>Total Current Liabilities</t>
  </si>
  <si>
    <t>Variable Rate Long Term Debt</t>
  </si>
  <si>
    <t>Fixed Rate Long Term Debt</t>
  </si>
  <si>
    <t>Total Long Term Liabilities</t>
  </si>
  <si>
    <t>Total Liabilities</t>
  </si>
  <si>
    <t>Preferred Shares</t>
  </si>
  <si>
    <t>Common Shares</t>
  </si>
  <si>
    <t>Retained Earnings</t>
  </si>
  <si>
    <t>Shareholder's Equity</t>
  </si>
  <si>
    <t>Total Liabilities and Equity</t>
  </si>
  <si>
    <t>Summary</t>
  </si>
  <si>
    <t>Actual</t>
  </si>
  <si>
    <t>Forecast</t>
  </si>
  <si>
    <t>General Assumptions</t>
  </si>
  <si>
    <t>Days in the period</t>
  </si>
  <si>
    <t>Style Guide</t>
  </si>
  <si>
    <t xml:space="preserve">Number </t>
  </si>
  <si>
    <t>Inputs</t>
  </si>
  <si>
    <t>Percent</t>
  </si>
  <si>
    <t>Multiple</t>
  </si>
  <si>
    <t>Linked cells</t>
  </si>
  <si>
    <t>Units</t>
  </si>
  <si>
    <t>Headings 2</t>
  </si>
  <si>
    <t>Millions</t>
  </si>
  <si>
    <t>Text</t>
  </si>
  <si>
    <t>Total</t>
  </si>
  <si>
    <t>Revenue Assumptions</t>
  </si>
  <si>
    <t>Pricing growth</t>
  </si>
  <si>
    <t>Volume growth</t>
  </si>
  <si>
    <t>Auxillary Revenue</t>
  </si>
  <si>
    <t>Auxillary Sales</t>
  </si>
  <si>
    <t>%age</t>
  </si>
  <si>
    <t>Production Cost Assumptions</t>
  </si>
  <si>
    <t>Variable Cost</t>
  </si>
  <si>
    <t>Cost of Sales</t>
  </si>
  <si>
    <t>Aggregate Cost</t>
  </si>
  <si>
    <t>Aggregate Variable Cost</t>
  </si>
  <si>
    <t>Fixed Cost</t>
  </si>
  <si>
    <t>Aggregate Fixed Cost</t>
  </si>
  <si>
    <t>Capex</t>
  </si>
  <si>
    <t>Straight Line</t>
  </si>
  <si>
    <t>Useful life of Assets</t>
  </si>
  <si>
    <t>Remaining Assets</t>
  </si>
  <si>
    <t>New Assets</t>
  </si>
  <si>
    <t>Working Capital Assumptions</t>
  </si>
  <si>
    <t>Days in the year</t>
  </si>
  <si>
    <t>Exract from Financials</t>
  </si>
  <si>
    <t>Account Balances</t>
  </si>
  <si>
    <t>Other current Assets</t>
  </si>
  <si>
    <t>Other Current Liabilities</t>
  </si>
  <si>
    <t>Days</t>
  </si>
  <si>
    <t>days</t>
  </si>
  <si>
    <t>Tax Assumptions</t>
  </si>
  <si>
    <t>Company Tax rate</t>
  </si>
  <si>
    <t>Reduction in EBT due to timing differences</t>
  </si>
  <si>
    <t>Debt &amp; Interest Rate Assumptions</t>
  </si>
  <si>
    <t>Interest rates</t>
  </si>
  <si>
    <t>Excess Cash</t>
  </si>
  <si>
    <t>Revolver</t>
  </si>
  <si>
    <t>Fixed rate term debt</t>
  </si>
  <si>
    <t>LIBOR</t>
  </si>
  <si>
    <t>Financial Statements</t>
  </si>
  <si>
    <t>Variable rate term debt</t>
  </si>
  <si>
    <t>Equity Assumptions</t>
  </si>
  <si>
    <t>Issuance/buyback</t>
  </si>
  <si>
    <t>Dividend payout ratio</t>
  </si>
  <si>
    <t>Other Assumptions</t>
  </si>
  <si>
    <t>Cost adjustments -Gain/(loss)-from operations</t>
  </si>
  <si>
    <t>Cost adjustments -Gain/(loss)-from financing</t>
  </si>
  <si>
    <t>Other operating Cashflow activities</t>
  </si>
  <si>
    <t>Other investing Cashflow activities</t>
  </si>
  <si>
    <t>Other Financing Cashflow activities</t>
  </si>
  <si>
    <t>Other Longterm Assets</t>
  </si>
  <si>
    <t>Other Longterm Liabilities</t>
  </si>
  <si>
    <t>Base Case</t>
  </si>
  <si>
    <t>Best Case</t>
  </si>
  <si>
    <t>Worst Case</t>
  </si>
  <si>
    <t>Used in the model</t>
  </si>
  <si>
    <t>Auxillary Sales growth</t>
  </si>
  <si>
    <t>Cost Inflation</t>
  </si>
  <si>
    <t>Cash flow Statement</t>
  </si>
  <si>
    <t>Calculations &amp; Schedules</t>
  </si>
  <si>
    <t>Accuracy Check</t>
  </si>
  <si>
    <t>Revenue Schedule</t>
  </si>
  <si>
    <t>Production Capacity</t>
  </si>
  <si>
    <t>Total Revenue</t>
  </si>
  <si>
    <t>Auxillary business Revenue</t>
  </si>
  <si>
    <t>Core business Revenue</t>
  </si>
  <si>
    <t>Cost Production Schedule</t>
  </si>
  <si>
    <t>Cost inflation</t>
  </si>
  <si>
    <t>Volume</t>
  </si>
  <si>
    <t>Capex and Depreciation Schedule</t>
  </si>
  <si>
    <t>Useful life of assets</t>
  </si>
  <si>
    <t>Depreciation for remaining assets</t>
  </si>
  <si>
    <t>Asset book value</t>
  </si>
  <si>
    <t>Years</t>
  </si>
  <si>
    <t>Depreciation for new Assets</t>
  </si>
  <si>
    <t>Total Depreciation</t>
  </si>
  <si>
    <t>Tax Schedule</t>
  </si>
  <si>
    <t>Company tax rate</t>
  </si>
  <si>
    <t>EBT Accounting</t>
  </si>
  <si>
    <t>EBT Government</t>
  </si>
  <si>
    <t>Accounting Taxes</t>
  </si>
  <si>
    <t>Current taxes</t>
  </si>
  <si>
    <t>Deffered income taxes</t>
  </si>
  <si>
    <t>Check</t>
  </si>
  <si>
    <t>Working Capital Schedule</t>
  </si>
  <si>
    <t>Days in a year</t>
  </si>
  <si>
    <t>Revenues</t>
  </si>
  <si>
    <t>Assets</t>
  </si>
  <si>
    <t>Liabilities</t>
  </si>
  <si>
    <t>Equity Schedule</t>
  </si>
  <si>
    <t>OWC</t>
  </si>
  <si>
    <t>Changes in OWC</t>
  </si>
  <si>
    <t>Beginning Balance</t>
  </si>
  <si>
    <t>Ending Balance</t>
  </si>
  <si>
    <t>Dividend payout</t>
  </si>
  <si>
    <t>Net Profit</t>
  </si>
  <si>
    <t>Dividends</t>
  </si>
  <si>
    <t>Other shareholders equity</t>
  </si>
  <si>
    <t>Cash reserve minimum requirements</t>
  </si>
  <si>
    <t>Debt &amp; interest Schedule</t>
  </si>
  <si>
    <t>Total interest on variable rate term debt</t>
  </si>
  <si>
    <t>Interest expense on Fixed rate term debt</t>
  </si>
  <si>
    <t>Changes in cash</t>
  </si>
  <si>
    <t>Asset dispositions</t>
  </si>
  <si>
    <t>Changes in Goodwill</t>
  </si>
  <si>
    <t>Changes in intangible</t>
  </si>
  <si>
    <t>Interest income on excess cash</t>
  </si>
  <si>
    <t>Revolving Credit Facility</t>
  </si>
  <si>
    <t>Operating Cashflow</t>
  </si>
  <si>
    <t>Investing Cashflow</t>
  </si>
  <si>
    <t>FCF After mandatory debts and dividends payment</t>
  </si>
  <si>
    <t>Beginning Revolver</t>
  </si>
  <si>
    <t>Changes in Revolver</t>
  </si>
  <si>
    <t>Interest expense on Revolver</t>
  </si>
  <si>
    <t>Summary of Interest Expense</t>
  </si>
  <si>
    <t>Interest expense on Variable rate term debt</t>
  </si>
  <si>
    <t>ebitda margin</t>
  </si>
  <si>
    <t>Dupont Analysis</t>
  </si>
  <si>
    <t>ROE</t>
  </si>
  <si>
    <t>Net Profit margin</t>
  </si>
  <si>
    <t>Asset turnover</t>
  </si>
  <si>
    <t>Financial Leverage</t>
  </si>
  <si>
    <t>multiples</t>
  </si>
  <si>
    <t>Summary Generator:</t>
  </si>
  <si>
    <t>Ebitda</t>
  </si>
  <si>
    <t>Growth rate</t>
  </si>
  <si>
    <t>Analysis based on: Base Case</t>
  </si>
  <si>
    <t>Analysis based on: Best Case</t>
  </si>
  <si>
    <t>Analysis based on: Worst Case</t>
  </si>
  <si>
    <t>[units]</t>
  </si>
  <si>
    <t>[$/unit]</t>
  </si>
  <si>
    <t>[days]</t>
  </si>
  <si>
    <t>[years]</t>
  </si>
  <si>
    <t>Depreciation method</t>
  </si>
  <si>
    <t>Scenario List</t>
  </si>
  <si>
    <t>EBITDA margin</t>
  </si>
  <si>
    <t>Total Income Tax</t>
  </si>
  <si>
    <t>Issuance/(buyback)</t>
  </si>
  <si>
    <t>Model</t>
  </si>
  <si>
    <t>Input</t>
  </si>
  <si>
    <t>Scenario</t>
  </si>
  <si>
    <t>Variable Costs</t>
  </si>
  <si>
    <t>Wheat</t>
  </si>
  <si>
    <t>Potatoes Starch</t>
  </si>
  <si>
    <t>Other raw materials</t>
  </si>
  <si>
    <t>$/unit</t>
  </si>
  <si>
    <t>Total Variable Cost per unit</t>
  </si>
  <si>
    <t>Capital Charges</t>
  </si>
  <si>
    <t>Labour</t>
  </si>
  <si>
    <t>Other Costs</t>
  </si>
  <si>
    <t>Nudu Noodles</t>
  </si>
  <si>
    <t>Cost per unit</t>
  </si>
  <si>
    <t>Total Cost of Sales</t>
  </si>
  <si>
    <t>Capex, Depreciation &amp; Amortization</t>
  </si>
  <si>
    <t>Product-70g</t>
  </si>
  <si>
    <t>Volume growth-70g</t>
  </si>
  <si>
    <t>Pricing growth-70g</t>
  </si>
  <si>
    <t>Pricing growth-100g</t>
  </si>
  <si>
    <t>Volume growth-100g</t>
  </si>
  <si>
    <t>Price</t>
  </si>
  <si>
    <t>Product-100g</t>
  </si>
  <si>
    <t>Actual Quantity produced</t>
  </si>
  <si>
    <t>Total Revenue-70g</t>
  </si>
  <si>
    <t>Total Revenue-100g</t>
  </si>
  <si>
    <t>Amortization/repayment on debt</t>
  </si>
  <si>
    <t>Fixed rate term debt: Issuance</t>
  </si>
  <si>
    <t>Fixed rate term debt: repayment</t>
  </si>
  <si>
    <t>Variable rate term debt: Issuance</t>
  </si>
  <si>
    <t>Variable rate term debt: repayment</t>
  </si>
  <si>
    <t>Financial Model for F2022F to F2026F</t>
  </si>
  <si>
    <t>Balance check</t>
  </si>
  <si>
    <t>Yield on Preference</t>
  </si>
  <si>
    <t>Add: Issuance</t>
  </si>
  <si>
    <t>Less: repayment</t>
  </si>
  <si>
    <t>Animashaun  jafar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</si>
</sst>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_);_(* \(#,##0\);_(* &quot;-&quot;_);_(@_)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0.0%;[Red]\(0.0%\);\-"/>
    <numFmt numFmtId="169" formatCode="#,##0.0;[Red]\(#,##0.0\);\-"/>
    <numFmt numFmtId="170" formatCode="0.00&quot;x&quot;;[Red]\(0.00&quot;x&quot;\);\-"/>
    <numFmt numFmtId="171" formatCode="\F0\A"/>
    <numFmt numFmtId="172" formatCode="#,##0.0;\(#,##0.0\);\-"/>
    <numFmt numFmtId="173" formatCode="#,##0.0;\(#,##0.0\);0.0"/>
    <numFmt numFmtId="174" formatCode="#,##0.0;[Red]\(#,##0.0\);0.0"/>
    <numFmt numFmtId="175" formatCode="\F0\F"/>
    <numFmt numFmtId="176" formatCode="0.00%;[Red]\(0.00%\);\-"/>
    <numFmt numFmtId="177" formatCode="#,##0.00;[Red]\(#,##0.00\);0.00"/>
  </numFmts>
  <fonts count="3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C00000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 tint="0.249977111117893"/>
      <name val="Arial"/>
      <family val="2"/>
    </font>
    <font>
      <sz val="11"/>
      <color rgb="FF3333FF"/>
      <name val="Arial"/>
      <family val="2"/>
    </font>
    <font>
      <b/>
      <sz val="16"/>
      <color rgb="FF0070C0"/>
      <name val="Arial"/>
      <family val="2"/>
    </font>
    <font>
      <sz val="11"/>
      <color rgb="FFFF0000"/>
      <name val="Arial"/>
      <family val="2"/>
    </font>
    <font>
      <sz val="12"/>
      <color theme="1" tint="0.249977111117893"/>
      <name val="Arial"/>
      <family val="2"/>
    </font>
    <font>
      <sz val="10"/>
      <color rgb="FF7F7F7F"/>
      <name val="Arial"/>
      <family val="2"/>
    </font>
    <font>
      <sz val="11"/>
      <color rgb="FFC0000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 tint="0.249977111117893"/>
      <name val="Arial"/>
      <family val="2"/>
    </font>
    <font>
      <b/>
      <u/>
      <sz val="12"/>
      <color theme="1"/>
      <name val="Arial"/>
      <family val="2"/>
    </font>
    <font>
      <sz val="11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rgb="FFC0000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 tint="0.2499465926084170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theme="0" tint="-0.34998626667073579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0">
    <xf numFmtId="174" fontId="0" fillId="0" borderId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0" borderId="7" applyNumberFormat="0" applyFill="0" applyAlignment="0" applyProtection="0"/>
    <xf numFmtId="0" fontId="13" fillId="0" borderId="8" applyNumberFormat="0" applyFill="0" applyAlignment="0" applyProtection="0"/>
    <xf numFmtId="0" fontId="9" fillId="33" borderId="9" applyNumberFormat="0" applyAlignment="0" applyProtection="0"/>
    <xf numFmtId="0" fontId="11" fillId="0" borderId="0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32" borderId="5" applyNumberFormat="0" applyFont="0" applyAlignment="0" applyProtection="0"/>
    <xf numFmtId="0" fontId="7" fillId="5" borderId="2" applyNumberFormat="0" applyAlignment="0" applyProtection="0"/>
    <xf numFmtId="0" fontId="8" fillId="5" borderId="1" applyNumberFormat="0" applyAlignment="0" applyProtection="0"/>
    <xf numFmtId="0" fontId="22" fillId="0" borderId="6" applyNumberFormat="0" applyFill="0" applyAlignment="0" applyProtection="0"/>
    <xf numFmtId="0" fontId="9" fillId="6" borderId="3" applyNumberFormat="0" applyAlignment="0" applyProtection="0"/>
    <xf numFmtId="0" fontId="1" fillId="7" borderId="4" applyNumberFormat="0" applyFont="0" applyAlignment="0" applyProtection="0"/>
    <xf numFmtId="0" fontId="10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ill="0" applyBorder="0" applyAlignment="0" applyProtection="0"/>
    <xf numFmtId="0" fontId="14" fillId="0" borderId="10" applyNumberFormat="0" applyFill="0" applyAlignment="0" applyProtection="0"/>
    <xf numFmtId="0" fontId="2" fillId="0" borderId="0" applyFill="0" applyAlignment="0" applyProtection="0"/>
    <xf numFmtId="0" fontId="12" fillId="0" borderId="0" applyFill="0" applyAlignment="0" applyProtection="0"/>
    <xf numFmtId="0" fontId="14" fillId="0" borderId="16" applyNumberFormat="0" applyFill="0" applyAlignment="0" applyProtection="0"/>
    <xf numFmtId="0" fontId="17" fillId="34" borderId="11" applyNumberFormat="0" applyAlignment="0" applyProtection="0"/>
    <xf numFmtId="170" fontId="1" fillId="0" borderId="0" applyFont="0" applyFill="0" applyBorder="0" applyAlignment="0" applyProtection="0"/>
  </cellStyleXfs>
  <cellXfs count="128">
    <xf numFmtId="174" fontId="0" fillId="0" borderId="0" xfId="0"/>
    <xf numFmtId="174" fontId="14" fillId="0" borderId="0" xfId="0" applyFont="1"/>
    <xf numFmtId="174" fontId="16" fillId="0" borderId="0" xfId="0" applyFont="1"/>
    <xf numFmtId="174" fontId="17" fillId="0" borderId="0" xfId="0" applyFont="1" applyAlignment="1">
      <alignment horizontal="left"/>
    </xf>
    <xf numFmtId="0" fontId="17" fillId="0" borderId="0" xfId="0" applyNumberFormat="1" applyFont="1" applyAlignment="1">
      <alignment horizontal="left"/>
    </xf>
    <xf numFmtId="174" fontId="18" fillId="0" borderId="0" xfId="0" applyFont="1"/>
    <xf numFmtId="174" fontId="19" fillId="0" borderId="12" xfId="0" applyFont="1" applyBorder="1"/>
    <xf numFmtId="174" fontId="19" fillId="0" borderId="13" xfId="0" applyFont="1" applyBorder="1" applyAlignment="1">
      <alignment horizontal="left"/>
    </xf>
    <xf numFmtId="174" fontId="19" fillId="0" borderId="13" xfId="0" applyFont="1" applyBorder="1"/>
    <xf numFmtId="174" fontId="0" fillId="0" borderId="13" xfId="0" applyBorder="1"/>
    <xf numFmtId="174" fontId="0" fillId="0" borderId="14" xfId="0" applyBorder="1"/>
    <xf numFmtId="174" fontId="0" fillId="0" borderId="0" xfId="0" applyAlignment="1">
      <alignment horizontal="centerContinuous"/>
    </xf>
    <xf numFmtId="174" fontId="15" fillId="0" borderId="0" xfId="0" applyFont="1" applyAlignment="1">
      <alignment horizontal="centerContinuous"/>
    </xf>
    <xf numFmtId="174" fontId="20" fillId="0" borderId="0" xfId="0" applyFont="1" applyAlignment="1">
      <alignment horizontal="centerContinuous"/>
    </xf>
    <xf numFmtId="174" fontId="0" fillId="0" borderId="15" xfId="0" applyBorder="1"/>
    <xf numFmtId="169" fontId="21" fillId="0" borderId="0" xfId="43" applyNumberFormat="1"/>
    <xf numFmtId="169" fontId="14" fillId="0" borderId="16" xfId="47" applyNumberFormat="1"/>
    <xf numFmtId="174" fontId="23" fillId="0" borderId="17" xfId="0" applyFont="1" applyBorder="1"/>
    <xf numFmtId="174" fontId="23" fillId="0" borderId="18" xfId="0" applyFont="1" applyBorder="1"/>
    <xf numFmtId="168" fontId="23" fillId="0" borderId="18" xfId="5" applyFont="1" applyBorder="1"/>
    <xf numFmtId="168" fontId="23" fillId="0" borderId="19" xfId="5" applyFont="1" applyBorder="1"/>
    <xf numFmtId="174" fontId="23" fillId="0" borderId="20" xfId="0" applyFont="1" applyBorder="1"/>
    <xf numFmtId="174" fontId="23" fillId="0" borderId="0" xfId="0" applyFont="1" applyBorder="1"/>
    <xf numFmtId="168" fontId="23" fillId="0" borderId="0" xfId="5" applyFont="1" applyBorder="1"/>
    <xf numFmtId="168" fontId="23" fillId="0" borderId="21" xfId="5" applyFont="1" applyBorder="1"/>
    <xf numFmtId="174" fontId="23" fillId="0" borderId="22" xfId="0" applyFont="1" applyBorder="1"/>
    <xf numFmtId="174" fontId="23" fillId="0" borderId="23" xfId="0" applyFont="1" applyBorder="1"/>
    <xf numFmtId="168" fontId="23" fillId="0" borderId="23" xfId="5" applyFont="1" applyBorder="1"/>
    <xf numFmtId="168" fontId="23" fillId="0" borderId="24" xfId="5" applyFont="1" applyBorder="1"/>
    <xf numFmtId="169" fontId="21" fillId="0" borderId="18" xfId="43" applyNumberFormat="1" applyBorder="1"/>
    <xf numFmtId="169" fontId="21" fillId="0" borderId="0" xfId="43" applyNumberFormat="1" applyBorder="1"/>
    <xf numFmtId="169" fontId="21" fillId="0" borderId="23" xfId="43" applyNumberFormat="1" applyBorder="1"/>
    <xf numFmtId="169" fontId="14" fillId="0" borderId="10" xfId="44" applyNumberFormat="1"/>
    <xf numFmtId="174" fontId="17" fillId="0" borderId="0" xfId="0" applyFont="1"/>
    <xf numFmtId="172" fontId="17" fillId="0" borderId="0" xfId="0" applyNumberFormat="1" applyFont="1"/>
    <xf numFmtId="171" fontId="24" fillId="0" borderId="0" xfId="0" applyNumberFormat="1" applyFont="1"/>
    <xf numFmtId="172" fontId="0" fillId="0" borderId="0" xfId="0" applyNumberFormat="1"/>
    <xf numFmtId="172" fontId="14" fillId="0" borderId="16" xfId="47" applyNumberFormat="1"/>
    <xf numFmtId="173" fontId="17" fillId="0" borderId="0" xfId="0" applyNumberFormat="1" applyFont="1"/>
    <xf numFmtId="174" fontId="0" fillId="0" borderId="23" xfId="0" applyBorder="1"/>
    <xf numFmtId="174" fontId="0" fillId="35" borderId="0" xfId="0" applyFill="1"/>
    <xf numFmtId="174" fontId="15" fillId="35" borderId="0" xfId="0" applyFont="1" applyFill="1"/>
    <xf numFmtId="174" fontId="23" fillId="35" borderId="0" xfId="0" applyFont="1" applyFill="1"/>
    <xf numFmtId="174" fontId="0" fillId="0" borderId="0" xfId="0" applyAlignment="1">
      <alignment horizontal="right"/>
    </xf>
    <xf numFmtId="174" fontId="0" fillId="35" borderId="0" xfId="0" applyFill="1" applyAlignment="1">
      <alignment horizontal="centerContinuous"/>
    </xf>
    <xf numFmtId="171" fontId="0" fillId="0" borderId="23" xfId="0" applyNumberFormat="1" applyBorder="1"/>
    <xf numFmtId="175" fontId="0" fillId="0" borderId="23" xfId="0" applyNumberFormat="1" applyBorder="1"/>
    <xf numFmtId="174" fontId="14" fillId="0" borderId="15" xfId="0" applyFont="1" applyBorder="1"/>
    <xf numFmtId="174" fontId="25" fillId="0" borderId="15" xfId="0" applyFont="1" applyBorder="1"/>
    <xf numFmtId="174" fontId="24" fillId="0" borderId="0" xfId="0" applyFont="1"/>
    <xf numFmtId="174" fontId="0" fillId="0" borderId="0" xfId="0" applyBorder="1"/>
    <xf numFmtId="169" fontId="17" fillId="34" borderId="11" xfId="48" applyNumberFormat="1"/>
    <xf numFmtId="174" fontId="26" fillId="0" borderId="0" xfId="0" applyFont="1"/>
    <xf numFmtId="174" fontId="25" fillId="0" borderId="0" xfId="0" applyFont="1" applyBorder="1"/>
    <xf numFmtId="174" fontId="14" fillId="0" borderId="0" xfId="0" applyFont="1" applyBorder="1"/>
    <xf numFmtId="169" fontId="22" fillId="0" borderId="6" xfId="16" applyNumberFormat="1"/>
    <xf numFmtId="168" fontId="0" fillId="0" borderId="0" xfId="5" applyFont="1"/>
    <xf numFmtId="168" fontId="17" fillId="34" borderId="11" xfId="48" applyNumberFormat="1"/>
    <xf numFmtId="168" fontId="22" fillId="0" borderId="6" xfId="16" applyNumberFormat="1"/>
    <xf numFmtId="174" fontId="0" fillId="0" borderId="27" xfId="0" applyBorder="1"/>
    <xf numFmtId="174" fontId="0" fillId="0" borderId="28" xfId="0" applyBorder="1"/>
    <xf numFmtId="174" fontId="0" fillId="0" borderId="29" xfId="0" applyBorder="1"/>
    <xf numFmtId="168" fontId="22" fillId="0" borderId="6" xfId="5" applyFont="1" applyBorder="1"/>
    <xf numFmtId="174" fontId="0" fillId="0" borderId="30" xfId="0" applyBorder="1"/>
    <xf numFmtId="174" fontId="14" fillId="0" borderId="23" xfId="0" applyFont="1" applyBorder="1"/>
    <xf numFmtId="169" fontId="22" fillId="0" borderId="26" xfId="16" applyNumberFormat="1" applyBorder="1"/>
    <xf numFmtId="174" fontId="0" fillId="0" borderId="12" xfId="0" applyBorder="1"/>
    <xf numFmtId="169" fontId="21" fillId="0" borderId="13" xfId="43" applyNumberFormat="1" applyBorder="1"/>
    <xf numFmtId="174" fontId="0" fillId="0" borderId="17" xfId="0" applyBorder="1" applyAlignment="1">
      <alignment horizontal="left" vertical="top"/>
    </xf>
    <xf numFmtId="174" fontId="0" fillId="0" borderId="19" xfId="0" applyBorder="1" applyAlignment="1">
      <alignment horizontal="left" vertical="top"/>
    </xf>
    <xf numFmtId="174" fontId="0" fillId="0" borderId="20" xfId="0" applyBorder="1"/>
    <xf numFmtId="174" fontId="0" fillId="0" borderId="22" xfId="0" applyBorder="1"/>
    <xf numFmtId="174" fontId="0" fillId="0" borderId="20" xfId="0" applyBorder="1" applyAlignment="1">
      <alignment horizontal="left"/>
    </xf>
    <xf numFmtId="0" fontId="0" fillId="0" borderId="21" xfId="0" applyNumberFormat="1" applyBorder="1" applyAlignment="1">
      <alignment horizontal="left"/>
    </xf>
    <xf numFmtId="174" fontId="0" fillId="0" borderId="22" xfId="0" applyBorder="1" applyAlignment="1">
      <alignment horizontal="left"/>
    </xf>
    <xf numFmtId="0" fontId="0" fillId="0" borderId="24" xfId="0" applyNumberFormat="1" applyBorder="1" applyAlignment="1">
      <alignment horizontal="left"/>
    </xf>
    <xf numFmtId="169" fontId="21" fillId="0" borderId="15" xfId="43" applyNumberFormat="1" applyBorder="1"/>
    <xf numFmtId="170" fontId="0" fillId="0" borderId="0" xfId="49" applyFont="1"/>
    <xf numFmtId="174" fontId="0" fillId="0" borderId="17" xfId="0" applyBorder="1"/>
    <xf numFmtId="174" fontId="0" fillId="0" borderId="18" xfId="0" applyBorder="1"/>
    <xf numFmtId="168" fontId="0" fillId="0" borderId="18" xfId="5" applyFont="1" applyBorder="1"/>
    <xf numFmtId="168" fontId="0" fillId="0" borderId="19" xfId="5" applyFont="1" applyBorder="1"/>
    <xf numFmtId="174" fontId="0" fillId="0" borderId="21" xfId="0" applyBorder="1"/>
    <xf numFmtId="168" fontId="0" fillId="0" borderId="0" xfId="5" applyFont="1" applyBorder="1"/>
    <xf numFmtId="168" fontId="0" fillId="0" borderId="21" xfId="5" applyFont="1" applyBorder="1"/>
    <xf numFmtId="170" fontId="0" fillId="0" borderId="0" xfId="49" applyFont="1" applyBorder="1"/>
    <xf numFmtId="170" fontId="0" fillId="0" borderId="21" xfId="49" applyFont="1" applyBorder="1"/>
    <xf numFmtId="170" fontId="0" fillId="0" borderId="23" xfId="49" applyFont="1" applyBorder="1"/>
    <xf numFmtId="170" fontId="0" fillId="0" borderId="24" xfId="49" applyFont="1" applyBorder="1"/>
    <xf numFmtId="174" fontId="27" fillId="0" borderId="0" xfId="0" applyFont="1" applyFill="1"/>
    <xf numFmtId="171" fontId="0" fillId="0" borderId="0" xfId="0" applyNumberFormat="1" applyBorder="1"/>
    <xf numFmtId="175" fontId="0" fillId="0" borderId="0" xfId="0" applyNumberFormat="1" applyBorder="1"/>
    <xf numFmtId="174" fontId="28" fillId="0" borderId="0" xfId="0" applyFont="1"/>
    <xf numFmtId="174" fontId="28" fillId="0" borderId="0" xfId="0" applyFont="1" applyAlignment="1">
      <alignment horizontal="right"/>
    </xf>
    <xf numFmtId="174" fontId="28" fillId="0" borderId="23" xfId="0" applyFont="1" applyBorder="1"/>
    <xf numFmtId="171" fontId="28" fillId="0" borderId="23" xfId="0" applyNumberFormat="1" applyFont="1" applyBorder="1"/>
    <xf numFmtId="175" fontId="28" fillId="0" borderId="23" xfId="0" applyNumberFormat="1" applyFont="1" applyBorder="1"/>
    <xf numFmtId="174" fontId="0" fillId="0" borderId="0" xfId="0" applyAlignment="1">
      <alignment horizontal="left"/>
    </xf>
    <xf numFmtId="169" fontId="17" fillId="34" borderId="11" xfId="48" applyNumberFormat="1" applyAlignment="1">
      <alignment horizontal="left"/>
    </xf>
    <xf numFmtId="168" fontId="0" fillId="0" borderId="0" xfId="5" applyFont="1" applyAlignment="1">
      <alignment horizontal="left"/>
    </xf>
    <xf numFmtId="170" fontId="0" fillId="0" borderId="0" xfId="49" applyFont="1" applyAlignment="1">
      <alignment horizontal="left"/>
    </xf>
    <xf numFmtId="169" fontId="22" fillId="0" borderId="6" xfId="16" applyNumberFormat="1" applyAlignment="1">
      <alignment horizontal="left"/>
    </xf>
    <xf numFmtId="169" fontId="21" fillId="0" borderId="0" xfId="43" applyNumberFormat="1" applyAlignment="1">
      <alignment horizontal="left"/>
    </xf>
    <xf numFmtId="169" fontId="14" fillId="0" borderId="10" xfId="44" applyNumberFormat="1" applyAlignment="1">
      <alignment horizontal="left"/>
    </xf>
    <xf numFmtId="174" fontId="14" fillId="0" borderId="25" xfId="0" applyFont="1" applyBorder="1" applyAlignment="1">
      <alignment horizontal="left"/>
    </xf>
    <xf numFmtId="174" fontId="14" fillId="0" borderId="15" xfId="0" applyFont="1" applyBorder="1" applyAlignment="1">
      <alignment horizontal="left"/>
    </xf>
    <xf numFmtId="174" fontId="29" fillId="0" borderId="0" xfId="0" applyFont="1"/>
    <xf numFmtId="174" fontId="28" fillId="0" borderId="0" xfId="0" applyFont="1" applyBorder="1"/>
    <xf numFmtId="171" fontId="28" fillId="0" borderId="0" xfId="0" applyNumberFormat="1" applyFont="1" applyBorder="1"/>
    <xf numFmtId="175" fontId="28" fillId="0" borderId="0" xfId="0" applyNumberFormat="1" applyFont="1" applyBorder="1"/>
    <xf numFmtId="174" fontId="25" fillId="0" borderId="30" xfId="0" applyFont="1" applyBorder="1"/>
    <xf numFmtId="174" fontId="14" fillId="0" borderId="16" xfId="47" applyNumberFormat="1"/>
    <xf numFmtId="176" fontId="17" fillId="34" borderId="11" xfId="48" applyNumberFormat="1"/>
    <xf numFmtId="174" fontId="30" fillId="0" borderId="0" xfId="0" applyFont="1"/>
    <xf numFmtId="174" fontId="14" fillId="0" borderId="10" xfId="44" applyNumberFormat="1"/>
    <xf numFmtId="174" fontId="25" fillId="0" borderId="23" xfId="0" applyFont="1" applyBorder="1"/>
    <xf numFmtId="174" fontId="21" fillId="0" borderId="0" xfId="43" applyNumberFormat="1" applyAlignment="1">
      <alignment horizontal="left"/>
    </xf>
    <xf numFmtId="174" fontId="22" fillId="0" borderId="6" xfId="16" applyNumberFormat="1"/>
    <xf numFmtId="0" fontId="0" fillId="0" borderId="23" xfId="0" applyNumberFormat="1" applyBorder="1"/>
    <xf numFmtId="176" fontId="17" fillId="34" borderId="11" xfId="5" applyNumberFormat="1" applyFont="1" applyFill="1" applyBorder="1"/>
    <xf numFmtId="176" fontId="22" fillId="0" borderId="6" xfId="16" applyNumberFormat="1"/>
    <xf numFmtId="174" fontId="17" fillId="34" borderId="11" xfId="48" applyNumberFormat="1"/>
    <xf numFmtId="174" fontId="14" fillId="0" borderId="0" xfId="47" applyNumberFormat="1" applyBorder="1"/>
    <xf numFmtId="177" fontId="0" fillId="0" borderId="23" xfId="0" applyNumberFormat="1" applyBorder="1"/>
    <xf numFmtId="174" fontId="21" fillId="0" borderId="0" xfId="43" applyNumberFormat="1"/>
    <xf numFmtId="177" fontId="0" fillId="0" borderId="0" xfId="0" applyNumberFormat="1" applyBorder="1"/>
    <xf numFmtId="174" fontId="19" fillId="0" borderId="12" xfId="0" applyFont="1" applyBorder="1" applyAlignment="1">
      <alignment horizontal="center"/>
    </xf>
    <xf numFmtId="174" fontId="19" fillId="0" borderId="14" xfId="0" applyFont="1" applyBorder="1" applyAlignment="1">
      <alignment horizontal="center"/>
    </xf>
  </cellXfs>
  <cellStyles count="50">
    <cellStyle name="20% - Accent1" xfId="20" builtinId="30" hidden="1"/>
    <cellStyle name="20% - Accent2" xfId="24" builtinId="34" hidden="1"/>
    <cellStyle name="20% - Accent3" xfId="28" builtinId="38" hidden="1"/>
    <cellStyle name="20% - Accent4" xfId="32" builtinId="42" hidden="1"/>
    <cellStyle name="20% - Accent5" xfId="36" builtinId="46" hidden="1"/>
    <cellStyle name="20% - Accent6" xfId="40" builtinId="50" hidden="1"/>
    <cellStyle name="40% - Accent1" xfId="21" builtinId="31" hidden="1"/>
    <cellStyle name="40% - Accent2" xfId="25" builtinId="35" hidden="1"/>
    <cellStyle name="40% - Accent3" xfId="29" builtinId="39" hidden="1"/>
    <cellStyle name="40% - Accent4" xfId="33" builtinId="43" hidden="1"/>
    <cellStyle name="40% - Accent5" xfId="37" builtinId="47" hidden="1"/>
    <cellStyle name="40% - Accent6" xfId="41" builtinId="51" hidden="1"/>
    <cellStyle name="60% - Accent1" xfId="22" builtinId="32" hidden="1"/>
    <cellStyle name="60% - Accent2" xfId="26" builtinId="36" hidden="1"/>
    <cellStyle name="60% - Accent3" xfId="30" builtinId="40" hidden="1"/>
    <cellStyle name="60% - Accent4" xfId="34" builtinId="44" hidden="1"/>
    <cellStyle name="60% - Accent5" xfId="38" builtinId="48" hidden="1"/>
    <cellStyle name="60% - Accent6" xfId="42" builtinId="52" hidden="1"/>
    <cellStyle name="Accent1" xfId="19" builtinId="29" hidden="1"/>
    <cellStyle name="Accent2" xfId="23" builtinId="33" hidden="1"/>
    <cellStyle name="Accent3" xfId="27" builtinId="37" hidden="1"/>
    <cellStyle name="Accent4" xfId="31" builtinId="41" hidden="1"/>
    <cellStyle name="Accent5" xfId="35" builtinId="45" hidden="1"/>
    <cellStyle name="Accent6" xfId="39" builtinId="49" hidden="1"/>
    <cellStyle name="Bad" xfId="11" builtinId="27" hidden="1"/>
    <cellStyle name="Calculation" xfId="15" builtinId="22" hidden="1"/>
    <cellStyle name="Check Cell" xfId="17" builtinId="23" hidden="1"/>
    <cellStyle name="Comma" xfId="1" builtinId="3" hidden="1"/>
    <cellStyle name="Comma [0]" xfId="2" builtinId="6" hidden="1"/>
    <cellStyle name="Currency" xfId="3" builtinId="4" hidden="1"/>
    <cellStyle name="Currency [0]" xfId="4" builtinId="7" hidden="1"/>
    <cellStyle name="Explanatory Text" xfId="43" builtinId="53" customBuiltin="1"/>
    <cellStyle name="Good" xfId="10" builtinId="26" hidden="1"/>
    <cellStyle name="Heading 1" xfId="6" builtinId="16" customBuiltin="1"/>
    <cellStyle name="Heading 1 2" xfId="45" xr:uid="{52D38640-DE00-49A4-B225-B0AF7A70A76C}"/>
    <cellStyle name="Heading 2" xfId="7" builtinId="17" customBuiltin="1"/>
    <cellStyle name="Heading 2 2" xfId="46" xr:uid="{392A2C8C-7914-4EC9-BD03-8344F3173A57}"/>
    <cellStyle name="Heading 3" xfId="8" builtinId="18" customBuiltin="1"/>
    <cellStyle name="Heading 4" xfId="9" builtinId="19" customBuiltin="1"/>
    <cellStyle name="Input" xfId="13" builtinId="20" hidden="1" customBuiltin="1"/>
    <cellStyle name="Input 2" xfId="48" xr:uid="{497352D9-E357-4280-8502-D8EC1B921B4D}"/>
    <cellStyle name="Linked Cell" xfId="16" builtinId="24" customBuiltin="1"/>
    <cellStyle name="Multiple" xfId="49" xr:uid="{49E731BD-C6CD-42E3-869F-F62F3C211165}"/>
    <cellStyle name="Neutral" xfId="12" builtinId="28" hidden="1"/>
    <cellStyle name="Normal" xfId="0" builtinId="0" customBuiltin="1"/>
    <cellStyle name="Note" xfId="18" builtinId="10" hidden="1"/>
    <cellStyle name="Output" xfId="14" builtinId="21" hidden="1"/>
    <cellStyle name="Percent" xfId="5" builtinId="5" customBuiltin="1"/>
    <cellStyle name="SubTotal" xfId="47" xr:uid="{93ABAD24-B5AD-47A3-836C-7C65A68AA13C}"/>
    <cellStyle name="Total" xfId="44" builtinId="25" customBuiltin="1"/>
  </cellStyles>
  <dxfs count="0"/>
  <tableStyles count="0" defaultTableStyle="TableStyleMedium2" defaultPivotStyle="PivotStyleLight16"/>
  <colors>
    <mruColors>
      <color rgb="FF3333FF"/>
      <color rgb="FFF2F7FC"/>
      <color rgb="FFE7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2" fmlaLink="Scenario!$E$9" fmlaRange="Scenario!$D$10:$D$12" noThreeD="1" sel="1" val="0"/>
</file>

<file path=xl/ctrlProps/ctrlProp2.xml><?xml version="1.0" encoding="utf-8"?>
<formControlPr xmlns="http://schemas.microsoft.com/office/spreadsheetml/2009/9/main" objectType="Drop" dropStyle="combo" dx="22" fmlaLink="$E$9" fmlaRange="$D$10:$D$12" noThreeD="1" sel="1" val="0"/>
</file>

<file path=xl/ctrlProps/ctrlProp3.xml><?xml version="1.0" encoding="utf-8"?>
<formControlPr xmlns="http://schemas.microsoft.com/office/spreadsheetml/2009/9/main" objectType="Drop" dropStyle="combo" dx="22" fmlaLink="Scenario!$E$9" fmlaRange="Scenario!$D$10:$D$12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760781</xdr:colOff>
          <xdr:row>64</xdr:row>
          <xdr:rowOff>109728</xdr:rowOff>
        </xdr:from>
        <xdr:to>
          <xdr:col>15</xdr:col>
          <xdr:colOff>811987</xdr:colOff>
          <xdr:row>65</xdr:row>
          <xdr:rowOff>190195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95098</xdr:colOff>
          <xdr:row>7</xdr:row>
          <xdr:rowOff>168250</xdr:rowOff>
        </xdr:from>
        <xdr:to>
          <xdr:col>6</xdr:col>
          <xdr:colOff>219456</xdr:colOff>
          <xdr:row>9</xdr:row>
          <xdr:rowOff>73152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848563</xdr:colOff>
          <xdr:row>1</xdr:row>
          <xdr:rowOff>204826</xdr:rowOff>
        </xdr:from>
        <xdr:to>
          <xdr:col>16</xdr:col>
          <xdr:colOff>0</xdr:colOff>
          <xdr:row>3</xdr:row>
          <xdr:rowOff>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2539-22DB-4B58-AE69-668401239AC9}">
  <sheetPr>
    <outlinePr summaryBelow="0" summaryRight="0"/>
    <pageSetUpPr autoPageBreaks="0" fitToPage="1"/>
  </sheetPr>
  <dimension ref="C7:G14"/>
  <sheetViews>
    <sheetView showGridLines="0" tabSelected="1" zoomScaleNormal="100" workbookViewId="0">
      <selection activeCell="E17" sqref="E17"/>
    </sheetView>
  </sheetViews>
  <sheetFormatPr defaultRowHeight="13.85" x14ac:dyDescent="0.25"/>
  <cols>
    <col min="1" max="2" width="3" customWidth="1"/>
    <col min="3" max="3" width="16.54296875" bestFit="1" customWidth="1"/>
    <col min="5" max="5" width="11.08984375" bestFit="1" customWidth="1"/>
    <col min="6" max="6" width="8.453125" bestFit="1" customWidth="1"/>
  </cols>
  <sheetData>
    <row r="7" spans="3:7" ht="20.75" x14ac:dyDescent="0.4">
      <c r="C7" s="5" t="s">
        <v>236</v>
      </c>
    </row>
    <row r="8" spans="3:7" x14ac:dyDescent="0.25">
      <c r="C8" s="2" t="s">
        <v>255</v>
      </c>
    </row>
    <row r="10" spans="3:7" x14ac:dyDescent="0.25">
      <c r="C10" s="2" t="s">
        <v>4</v>
      </c>
      <c r="D10" s="3" t="s">
        <v>260</v>
      </c>
    </row>
    <row r="11" spans="3:7" x14ac:dyDescent="0.25">
      <c r="C11" s="2" t="s">
        <v>5</v>
      </c>
      <c r="D11" s="3" t="s">
        <v>2</v>
      </c>
    </row>
    <row r="12" spans="3:7" x14ac:dyDescent="0.25">
      <c r="C12" s="2" t="s">
        <v>1</v>
      </c>
      <c r="D12" s="4">
        <v>2021</v>
      </c>
    </row>
    <row r="14" spans="3:7" x14ac:dyDescent="0.25">
      <c r="C14" s="6" t="s">
        <v>0</v>
      </c>
      <c r="D14" s="7" t="s">
        <v>3</v>
      </c>
      <c r="E14" s="8"/>
      <c r="F14" s="9"/>
      <c r="G14" s="10"/>
    </row>
  </sheetData>
  <dataValidations count="1">
    <dataValidation type="custom" allowBlank="1" showInputMessage="1" showErrorMessage="1" sqref="F10" xr:uid="{A455A1B8-1246-48E8-8076-782ED152BD6A}">
      <formula1>"Amara, Chuckwu, Sun, Moon, Noon"</formula1>
    </dataValidation>
  </dataValidations>
  <pageMargins left="0.7" right="0.7" top="0.75" bottom="0.75" header="0.3" footer="0.3"/>
  <pageSetup fitToHeight="0" orientation="landscape" r:id="rId1"/>
  <headerFooter>
    <oddFooter>&amp;LPrinted on: &amp;D at &amp;T&amp;C&amp;A&amp;R&amp;P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2AA2-E5AA-4580-A17A-42DAFFC8D333}">
  <sheetPr>
    <outlinePr summaryBelow="0" summaryRight="0"/>
    <pageSetUpPr autoPageBreaks="0" fitToPage="1"/>
  </sheetPr>
  <dimension ref="C2:I119"/>
  <sheetViews>
    <sheetView showGridLines="0" zoomScale="80" zoomScaleNormal="80" zoomScaleSheetLayoutView="70" workbookViewId="0"/>
  </sheetViews>
  <sheetFormatPr defaultRowHeight="13.85" x14ac:dyDescent="0.25"/>
  <cols>
    <col min="1" max="1" width="3" customWidth="1"/>
    <col min="2" max="2" width="1" customWidth="1"/>
    <col min="3" max="3" width="1.453125" customWidth="1"/>
    <col min="4" max="4" width="49.26953125" bestFit="1" customWidth="1"/>
    <col min="5" max="5" width="9.453125" customWidth="1"/>
    <col min="6" max="6" width="2.08984375" customWidth="1"/>
    <col min="7" max="9" width="11.08984375" customWidth="1"/>
  </cols>
  <sheetData>
    <row r="2" spans="3:9" ht="17.850000000000001" x14ac:dyDescent="0.35">
      <c r="C2" s="12" t="s">
        <v>236</v>
      </c>
      <c r="D2" s="11"/>
      <c r="E2" s="11"/>
      <c r="F2" s="11"/>
      <c r="G2" s="11"/>
      <c r="H2" s="11"/>
      <c r="I2" s="11"/>
    </row>
    <row r="3" spans="3:9" ht="15.55" x14ac:dyDescent="0.3">
      <c r="C3" s="13" t="s">
        <v>6</v>
      </c>
      <c r="D3" s="11"/>
      <c r="E3" s="11"/>
      <c r="F3" s="11"/>
      <c r="G3" s="11"/>
      <c r="H3" s="11"/>
      <c r="I3" s="11"/>
    </row>
    <row r="4" spans="3:9" ht="14.4" thickBot="1" x14ac:dyDescent="0.3">
      <c r="C4" s="14"/>
      <c r="D4" s="14"/>
      <c r="E4" s="14"/>
      <c r="F4" s="14"/>
      <c r="G4" s="14"/>
      <c r="H4" s="14"/>
      <c r="I4" s="14"/>
    </row>
    <row r="5" spans="3:9" x14ac:dyDescent="0.25">
      <c r="C5" s="15" t="s">
        <v>7</v>
      </c>
    </row>
    <row r="6" spans="3:9" ht="7.5" customHeight="1" x14ac:dyDescent="0.25"/>
    <row r="7" spans="3:9" x14ac:dyDescent="0.25">
      <c r="G7" s="35">
        <v>2019</v>
      </c>
      <c r="H7" s="35">
        <f>G7+1</f>
        <v>2020</v>
      </c>
      <c r="I7" s="35">
        <f>H7+1</f>
        <v>2021</v>
      </c>
    </row>
    <row r="9" spans="3:9" x14ac:dyDescent="0.25">
      <c r="C9" s="17" t="s">
        <v>8</v>
      </c>
      <c r="D9" s="18"/>
      <c r="E9" s="29" t="s">
        <v>21</v>
      </c>
      <c r="F9" s="18"/>
      <c r="G9" s="19"/>
      <c r="H9" s="19">
        <f>H13/G13-1</f>
        <v>-8.6538461538461231E-3</v>
      </c>
      <c r="I9" s="20">
        <f>I13/H13-1</f>
        <v>3.2007759456837981E-2</v>
      </c>
    </row>
    <row r="10" spans="3:9" x14ac:dyDescent="0.25">
      <c r="C10" s="21" t="s">
        <v>9</v>
      </c>
      <c r="D10" s="22"/>
      <c r="E10" s="30" t="s">
        <v>21</v>
      </c>
      <c r="F10" s="22"/>
      <c r="G10" s="23">
        <f>G15/G13</f>
        <v>0.31563461538461546</v>
      </c>
      <c r="H10" s="23">
        <f t="shared" ref="H10:I10" si="0">H15/H13</f>
        <v>0.35790494665373423</v>
      </c>
      <c r="I10" s="24">
        <f t="shared" si="0"/>
        <v>0.37007518796992478</v>
      </c>
    </row>
    <row r="11" spans="3:9" x14ac:dyDescent="0.25">
      <c r="C11" s="25" t="s">
        <v>10</v>
      </c>
      <c r="D11" s="26"/>
      <c r="E11" s="31" t="s">
        <v>21</v>
      </c>
      <c r="F11" s="26"/>
      <c r="G11" s="27">
        <f>G16/G13</f>
        <v>0.19976923076923075</v>
      </c>
      <c r="H11" s="27">
        <f t="shared" ref="H11:I11" si="1">H16/H13</f>
        <v>0.21132880698351117</v>
      </c>
      <c r="I11" s="28">
        <f t="shared" si="1"/>
        <v>0.21537593984962405</v>
      </c>
    </row>
    <row r="13" spans="3:9" x14ac:dyDescent="0.25">
      <c r="D13" t="s">
        <v>11</v>
      </c>
      <c r="E13" s="15" t="s">
        <v>20</v>
      </c>
      <c r="G13" s="34">
        <v>520</v>
      </c>
      <c r="H13" s="34">
        <v>515.5</v>
      </c>
      <c r="I13" s="34">
        <v>532</v>
      </c>
    </row>
    <row r="14" spans="3:9" x14ac:dyDescent="0.25">
      <c r="G14" s="34"/>
      <c r="H14" s="34"/>
      <c r="I14" s="34"/>
    </row>
    <row r="15" spans="3:9" x14ac:dyDescent="0.25">
      <c r="D15" t="s">
        <v>12</v>
      </c>
      <c r="E15" s="15" t="s">
        <v>20</v>
      </c>
      <c r="G15" s="34">
        <v>164.13000000000002</v>
      </c>
      <c r="H15" s="34">
        <v>184.5</v>
      </c>
      <c r="I15" s="34">
        <v>196.88</v>
      </c>
    </row>
    <row r="16" spans="3:9" x14ac:dyDescent="0.25">
      <c r="D16" t="s">
        <v>13</v>
      </c>
      <c r="E16" s="15" t="s">
        <v>20</v>
      </c>
      <c r="G16" s="34">
        <v>103.88</v>
      </c>
      <c r="H16" s="34">
        <v>108.94000000000001</v>
      </c>
      <c r="I16" s="34">
        <v>114.58</v>
      </c>
    </row>
    <row r="17" spans="4:9" x14ac:dyDescent="0.25">
      <c r="D17" s="1" t="s">
        <v>14</v>
      </c>
      <c r="E17" s="15" t="s">
        <v>20</v>
      </c>
      <c r="G17" s="16">
        <f>SUM(G15:G16)</f>
        <v>268.01</v>
      </c>
      <c r="H17" s="16">
        <f t="shared" ref="H17:I17" si="2">SUM(H15:H16)</f>
        <v>293.44</v>
      </c>
      <c r="I17" s="16">
        <f t="shared" si="2"/>
        <v>311.45999999999998</v>
      </c>
    </row>
    <row r="19" spans="4:9" x14ac:dyDescent="0.25">
      <c r="D19" t="s">
        <v>15</v>
      </c>
      <c r="E19" s="15" t="s">
        <v>20</v>
      </c>
      <c r="G19" s="34">
        <v>-7</v>
      </c>
      <c r="H19" s="34">
        <v>-4.2</v>
      </c>
      <c r="I19" s="34">
        <v>30</v>
      </c>
    </row>
    <row r="20" spans="4:9" x14ac:dyDescent="0.25">
      <c r="D20" s="1" t="s">
        <v>16</v>
      </c>
      <c r="E20" s="15" t="s">
        <v>20</v>
      </c>
      <c r="G20" s="16">
        <f>G13-G17+G19</f>
        <v>244.99</v>
      </c>
      <c r="H20" s="16">
        <f t="shared" ref="H20:I20" si="3">H13-H17+H19</f>
        <v>217.86</v>
      </c>
      <c r="I20" s="16">
        <f t="shared" si="3"/>
        <v>250.54000000000002</v>
      </c>
    </row>
    <row r="22" spans="4:9" x14ac:dyDescent="0.25">
      <c r="D22" t="s">
        <v>17</v>
      </c>
      <c r="E22" s="15" t="s">
        <v>20</v>
      </c>
      <c r="G22" s="34">
        <v>5.0999999999999996</v>
      </c>
      <c r="H22" s="34">
        <v>5.5733333333333333</v>
      </c>
      <c r="I22" s="34">
        <v>5.88</v>
      </c>
    </row>
    <row r="23" spans="4:9" x14ac:dyDescent="0.25">
      <c r="D23" s="1" t="s">
        <v>18</v>
      </c>
      <c r="E23" s="15" t="s">
        <v>20</v>
      </c>
      <c r="G23" s="16">
        <f t="shared" ref="G23:I23" si="4">G20-G22</f>
        <v>239.89000000000001</v>
      </c>
      <c r="H23" s="16">
        <f t="shared" si="4"/>
        <v>212.28666666666669</v>
      </c>
      <c r="I23" s="16">
        <f t="shared" si="4"/>
        <v>244.66000000000003</v>
      </c>
    </row>
    <row r="25" spans="4:9" x14ac:dyDescent="0.25">
      <c r="D25" t="s">
        <v>15</v>
      </c>
      <c r="E25" s="15" t="s">
        <v>20</v>
      </c>
      <c r="G25" s="34">
        <v>-58</v>
      </c>
      <c r="H25" s="34">
        <v>-61.95</v>
      </c>
      <c r="I25" s="34">
        <v>-52.9</v>
      </c>
    </row>
    <row r="26" spans="4:9" x14ac:dyDescent="0.25">
      <c r="D26" t="s">
        <v>19</v>
      </c>
      <c r="E26" s="15" t="s">
        <v>20</v>
      </c>
      <c r="G26" s="34">
        <v>62</v>
      </c>
      <c r="H26" s="34">
        <v>56.6</v>
      </c>
      <c r="I26" s="34">
        <v>59.1</v>
      </c>
    </row>
    <row r="27" spans="4:9" x14ac:dyDescent="0.25">
      <c r="D27" s="1" t="s">
        <v>22</v>
      </c>
      <c r="E27" s="15" t="s">
        <v>20</v>
      </c>
      <c r="G27" s="16">
        <f>G23+G25-G26</f>
        <v>119.89000000000001</v>
      </c>
      <c r="H27" s="16">
        <f t="shared" ref="H27:I27" si="5">H23+H25-H26</f>
        <v>93.736666666666707</v>
      </c>
      <c r="I27" s="16">
        <f t="shared" si="5"/>
        <v>132.66000000000003</v>
      </c>
    </row>
    <row r="29" spans="4:9" x14ac:dyDescent="0.25">
      <c r="D29" t="s">
        <v>23</v>
      </c>
      <c r="E29" s="15" t="s">
        <v>20</v>
      </c>
      <c r="G29" s="34">
        <v>40.5</v>
      </c>
      <c r="H29" s="34">
        <v>22.7</v>
      </c>
      <c r="I29" s="34">
        <v>24.8</v>
      </c>
    </row>
    <row r="30" spans="4:9" x14ac:dyDescent="0.25">
      <c r="D30" t="s">
        <v>24</v>
      </c>
      <c r="E30" s="15" t="s">
        <v>20</v>
      </c>
      <c r="G30" s="34">
        <v>16.899999999999999</v>
      </c>
      <c r="H30" s="34">
        <v>31.7</v>
      </c>
      <c r="I30" s="34">
        <v>24</v>
      </c>
    </row>
    <row r="31" spans="4:9" x14ac:dyDescent="0.25">
      <c r="D31" s="1" t="s">
        <v>25</v>
      </c>
      <c r="E31" s="15" t="s">
        <v>20</v>
      </c>
      <c r="G31" s="16">
        <f>SUM(G29:G30)</f>
        <v>57.4</v>
      </c>
      <c r="H31" s="16">
        <f t="shared" ref="H31:I31" si="6">SUM(H29:H30)</f>
        <v>54.4</v>
      </c>
      <c r="I31" s="16">
        <f t="shared" si="6"/>
        <v>48.8</v>
      </c>
    </row>
    <row r="33" spans="3:9" x14ac:dyDescent="0.25">
      <c r="D33" s="1" t="s">
        <v>26</v>
      </c>
      <c r="E33" s="15" t="s">
        <v>20</v>
      </c>
      <c r="G33" s="16">
        <f>G27-G31</f>
        <v>62.490000000000016</v>
      </c>
      <c r="H33" s="16">
        <f t="shared" ref="H33:I33" si="7">H27-H31</f>
        <v>39.336666666666709</v>
      </c>
      <c r="I33" s="16">
        <f t="shared" si="7"/>
        <v>83.860000000000028</v>
      </c>
    </row>
    <row r="35" spans="3:9" x14ac:dyDescent="0.25">
      <c r="D35" s="1" t="s">
        <v>27</v>
      </c>
      <c r="E35" s="15" t="s">
        <v>20</v>
      </c>
      <c r="G35" s="34">
        <v>0.5</v>
      </c>
      <c r="H35" s="34">
        <v>0.5</v>
      </c>
      <c r="I35" s="34">
        <v>0.5</v>
      </c>
    </row>
    <row r="36" spans="3:9" ht="14.4" thickBot="1" x14ac:dyDescent="0.3">
      <c r="D36" t="s">
        <v>28</v>
      </c>
      <c r="E36" s="15" t="s">
        <v>20</v>
      </c>
      <c r="G36" s="32">
        <f>G33-G35</f>
        <v>61.990000000000016</v>
      </c>
      <c r="H36" s="32">
        <f t="shared" ref="H36:I36" si="8">H33-H35</f>
        <v>38.836666666666709</v>
      </c>
      <c r="I36" s="32">
        <f t="shared" si="8"/>
        <v>83.360000000000028</v>
      </c>
    </row>
    <row r="37" spans="3:9" ht="14.4" thickTop="1" x14ac:dyDescent="0.25"/>
    <row r="39" spans="3:9" ht="17.850000000000001" x14ac:dyDescent="0.35">
      <c r="C39" s="12" t="s">
        <v>236</v>
      </c>
      <c r="D39" s="11"/>
      <c r="E39" s="11"/>
      <c r="F39" s="11"/>
      <c r="G39" s="11"/>
      <c r="H39" s="11"/>
      <c r="I39" s="11"/>
    </row>
    <row r="40" spans="3:9" ht="15.55" x14ac:dyDescent="0.3">
      <c r="C40" s="13" t="s">
        <v>29</v>
      </c>
      <c r="D40" s="11"/>
      <c r="E40" s="11"/>
      <c r="F40" s="11"/>
      <c r="G40" s="11"/>
      <c r="H40" s="11"/>
      <c r="I40" s="11"/>
    </row>
    <row r="41" spans="3:9" ht="14.4" thickBot="1" x14ac:dyDescent="0.3">
      <c r="C41" s="14"/>
      <c r="D41" s="14"/>
      <c r="E41" s="14"/>
      <c r="F41" s="14"/>
      <c r="G41" s="14"/>
      <c r="H41" s="14"/>
      <c r="I41" s="14"/>
    </row>
    <row r="42" spans="3:9" x14ac:dyDescent="0.25">
      <c r="C42" s="15" t="s">
        <v>7</v>
      </c>
    </row>
    <row r="43" spans="3:9" x14ac:dyDescent="0.25">
      <c r="G43" s="35">
        <v>2019</v>
      </c>
      <c r="H43" s="35">
        <f>G43+1</f>
        <v>2020</v>
      </c>
      <c r="I43" s="35">
        <f>H43+1</f>
        <v>2021</v>
      </c>
    </row>
    <row r="44" spans="3:9" x14ac:dyDescent="0.25">
      <c r="C44" s="1" t="s">
        <v>30</v>
      </c>
    </row>
    <row r="45" spans="3:9" x14ac:dyDescent="0.25">
      <c r="D45" t="s">
        <v>26</v>
      </c>
      <c r="E45" s="15" t="s">
        <v>20</v>
      </c>
      <c r="G45" s="34">
        <f>G33</f>
        <v>62.490000000000016</v>
      </c>
      <c r="H45" s="34">
        <f t="shared" ref="H45:I45" si="9">H33</f>
        <v>39.336666666666709</v>
      </c>
      <c r="I45" s="34">
        <f t="shared" si="9"/>
        <v>83.860000000000028</v>
      </c>
    </row>
    <row r="46" spans="3:9" x14ac:dyDescent="0.25">
      <c r="D46" t="s">
        <v>17</v>
      </c>
      <c r="E46" s="15" t="s">
        <v>20</v>
      </c>
      <c r="G46" s="34">
        <v>5.0999999999999996</v>
      </c>
      <c r="H46" s="34">
        <v>5.5733333333333333</v>
      </c>
      <c r="I46" s="34">
        <v>5.88</v>
      </c>
    </row>
    <row r="47" spans="3:9" x14ac:dyDescent="0.25">
      <c r="D47" t="s">
        <v>24</v>
      </c>
      <c r="E47" s="15" t="s">
        <v>20</v>
      </c>
      <c r="G47" s="34">
        <v>1.1266666666666665</v>
      </c>
      <c r="H47" s="34">
        <v>2.1133333333333333</v>
      </c>
      <c r="I47" s="34">
        <v>1.6</v>
      </c>
    </row>
    <row r="48" spans="3:9" x14ac:dyDescent="0.25">
      <c r="D48" t="s">
        <v>31</v>
      </c>
      <c r="E48" s="15" t="s">
        <v>20</v>
      </c>
      <c r="G48" s="34">
        <v>-7.9333333333333336</v>
      </c>
      <c r="H48" s="34">
        <v>-0.3</v>
      </c>
      <c r="I48" s="34">
        <v>-5.5866666666666678</v>
      </c>
    </row>
    <row r="49" spans="3:9" x14ac:dyDescent="0.25">
      <c r="D49" t="s">
        <v>32</v>
      </c>
      <c r="E49" s="15" t="s">
        <v>20</v>
      </c>
      <c r="G49" s="34">
        <v>10.793333333333333</v>
      </c>
      <c r="H49" s="34">
        <v>10.946666666666665</v>
      </c>
      <c r="I49" s="34">
        <v>16.14</v>
      </c>
    </row>
    <row r="50" spans="3:9" x14ac:dyDescent="0.25">
      <c r="D50" s="1" t="s">
        <v>33</v>
      </c>
      <c r="E50" s="15" t="s">
        <v>20</v>
      </c>
      <c r="G50" s="16">
        <f>SUM(G45:G49)</f>
        <v>71.576666666666682</v>
      </c>
      <c r="H50" s="16">
        <f>SUM(H45:H49)</f>
        <v>57.670000000000037</v>
      </c>
      <c r="I50" s="16">
        <f>SUM(I45:I49)</f>
        <v>101.89333333333335</v>
      </c>
    </row>
    <row r="52" spans="3:9" x14ac:dyDescent="0.25">
      <c r="C52" s="1" t="s">
        <v>34</v>
      </c>
    </row>
    <row r="53" spans="3:9" x14ac:dyDescent="0.25">
      <c r="D53" t="s">
        <v>35</v>
      </c>
      <c r="E53" s="15" t="s">
        <v>20</v>
      </c>
      <c r="G53" s="34">
        <v>-5.0266666666666673</v>
      </c>
      <c r="H53" s="34">
        <v>-5.38</v>
      </c>
      <c r="I53" s="34">
        <v>-5.5</v>
      </c>
    </row>
    <row r="54" spans="3:9" x14ac:dyDescent="0.25">
      <c r="D54" t="s">
        <v>36</v>
      </c>
      <c r="E54" s="15" t="s">
        <v>20</v>
      </c>
      <c r="G54" s="34">
        <v>0.13333333333333333</v>
      </c>
      <c r="H54" s="34">
        <v>0.22666666666666666</v>
      </c>
      <c r="I54" s="34">
        <v>0.7</v>
      </c>
    </row>
    <row r="55" spans="3:9" x14ac:dyDescent="0.25">
      <c r="D55" t="s">
        <v>32</v>
      </c>
      <c r="E55" s="15" t="s">
        <v>20</v>
      </c>
      <c r="G55" s="34">
        <v>-0.38666666666666666</v>
      </c>
      <c r="H55" s="34">
        <v>-0.28000000000000003</v>
      </c>
      <c r="I55" s="34">
        <v>-0.32</v>
      </c>
    </row>
    <row r="56" spans="3:9" x14ac:dyDescent="0.25">
      <c r="D56" s="1" t="s">
        <v>37</v>
      </c>
      <c r="E56" s="15" t="s">
        <v>20</v>
      </c>
      <c r="G56" s="37">
        <f>SUM(G53:G55)</f>
        <v>-5.28</v>
      </c>
      <c r="H56" s="37">
        <f>SUM(H53:H55)</f>
        <v>-5.4333333333333336</v>
      </c>
      <c r="I56" s="37">
        <f>SUM(I53:I55)</f>
        <v>-5.12</v>
      </c>
    </row>
    <row r="58" spans="3:9" x14ac:dyDescent="0.25">
      <c r="C58" s="1" t="s">
        <v>38</v>
      </c>
    </row>
    <row r="59" spans="3:9" x14ac:dyDescent="0.25">
      <c r="D59" t="s">
        <v>39</v>
      </c>
      <c r="E59" s="15" t="s">
        <v>20</v>
      </c>
      <c r="G59" s="38">
        <v>1</v>
      </c>
      <c r="H59" s="38">
        <v>0</v>
      </c>
      <c r="I59" s="38">
        <v>0</v>
      </c>
    </row>
    <row r="60" spans="3:9" x14ac:dyDescent="0.25">
      <c r="D60" t="s">
        <v>40</v>
      </c>
      <c r="E60" s="15" t="s">
        <v>20</v>
      </c>
      <c r="G60" s="38">
        <v>3.3333333333333335</v>
      </c>
      <c r="H60" s="38">
        <v>8.3222666666666676</v>
      </c>
      <c r="I60" s="38">
        <v>0</v>
      </c>
    </row>
    <row r="61" spans="3:9" x14ac:dyDescent="0.25">
      <c r="D61" t="s">
        <v>41</v>
      </c>
      <c r="E61" s="15" t="s">
        <v>20</v>
      </c>
      <c r="G61" s="38">
        <v>0</v>
      </c>
      <c r="H61" s="38">
        <v>-6.666666666666667</v>
      </c>
      <c r="I61" s="38">
        <v>-8.5666666666666664</v>
      </c>
    </row>
    <row r="62" spans="3:9" x14ac:dyDescent="0.25">
      <c r="D62" t="s">
        <v>42</v>
      </c>
      <c r="E62" s="15" t="s">
        <v>20</v>
      </c>
      <c r="G62" s="38">
        <v>0</v>
      </c>
      <c r="H62" s="38">
        <v>0</v>
      </c>
      <c r="I62" s="38">
        <v>0</v>
      </c>
    </row>
    <row r="63" spans="3:9" x14ac:dyDescent="0.25">
      <c r="D63" t="s">
        <v>43</v>
      </c>
      <c r="E63" s="15" t="s">
        <v>20</v>
      </c>
      <c r="G63" s="38">
        <v>-5.3666666666666663</v>
      </c>
      <c r="H63" s="38">
        <v>-5.9333333333333336</v>
      </c>
      <c r="I63" s="38">
        <v>-4.666666666666667</v>
      </c>
    </row>
    <row r="64" spans="3:9" x14ac:dyDescent="0.25">
      <c r="D64" t="s">
        <v>44</v>
      </c>
      <c r="E64" s="15" t="s">
        <v>20</v>
      </c>
      <c r="G64" s="38">
        <v>0</v>
      </c>
      <c r="H64" s="38">
        <v>0</v>
      </c>
      <c r="I64" s="38">
        <v>0</v>
      </c>
    </row>
    <row r="65" spans="3:9" x14ac:dyDescent="0.25">
      <c r="D65" t="s">
        <v>45</v>
      </c>
      <c r="E65" s="15" t="s">
        <v>20</v>
      </c>
      <c r="G65" s="38">
        <v>-2.7866666666666666</v>
      </c>
      <c r="H65" s="38">
        <v>-3.0066666666666668</v>
      </c>
      <c r="I65" s="38">
        <v>-3.1266666666666665</v>
      </c>
    </row>
    <row r="66" spans="3:9" x14ac:dyDescent="0.25">
      <c r="D66" t="s">
        <v>32</v>
      </c>
      <c r="E66" s="15" t="s">
        <v>20</v>
      </c>
      <c r="G66" s="38">
        <v>-0.12000000000000001</v>
      </c>
      <c r="H66" s="38">
        <v>-0.12666666666666665</v>
      </c>
      <c r="I66" s="38">
        <v>-0.19333333333333333</v>
      </c>
    </row>
    <row r="67" spans="3:9" x14ac:dyDescent="0.25">
      <c r="D67" s="1" t="s">
        <v>46</v>
      </c>
      <c r="E67" s="15" t="s">
        <v>20</v>
      </c>
      <c r="G67" s="37">
        <f>SUM(G59:G66)</f>
        <v>-3.9399999999999991</v>
      </c>
      <c r="H67" s="37">
        <f>SUM(H59:H66)</f>
        <v>-7.4110666666666667</v>
      </c>
      <c r="I67" s="37">
        <f t="shared" ref="I67" si="10">SUM(I59:I66)</f>
        <v>-16.553333333333331</v>
      </c>
    </row>
    <row r="69" spans="3:9" x14ac:dyDescent="0.25">
      <c r="D69" t="s">
        <v>47</v>
      </c>
      <c r="E69" s="15" t="s">
        <v>20</v>
      </c>
      <c r="G69" s="36">
        <f>G50+G56+G67</f>
        <v>62.356666666666683</v>
      </c>
      <c r="H69">
        <f>H50+H56+H67</f>
        <v>44.825600000000037</v>
      </c>
      <c r="I69">
        <f>I50+I56+I67</f>
        <v>80.220000000000013</v>
      </c>
    </row>
    <row r="70" spans="3:9" x14ac:dyDescent="0.25">
      <c r="D70" t="s">
        <v>48</v>
      </c>
      <c r="E70" s="15" t="s">
        <v>20</v>
      </c>
      <c r="G70" s="34">
        <v>16.16</v>
      </c>
      <c r="H70">
        <f>G71</f>
        <v>78.51666666666668</v>
      </c>
      <c r="I70">
        <f>H71</f>
        <v>123.34226666666672</v>
      </c>
    </row>
    <row r="71" spans="3:9" ht="14.4" thickBot="1" x14ac:dyDescent="0.3">
      <c r="D71" s="1" t="s">
        <v>49</v>
      </c>
      <c r="E71" s="15" t="s">
        <v>20</v>
      </c>
      <c r="G71" s="32">
        <f>SUM(G69:G70)</f>
        <v>78.51666666666668</v>
      </c>
      <c r="H71" s="32">
        <f t="shared" ref="H71:I71" si="11">SUM(H69:H70)</f>
        <v>123.34226666666672</v>
      </c>
      <c r="I71" s="32">
        <f t="shared" si="11"/>
        <v>203.56226666666674</v>
      </c>
    </row>
    <row r="72" spans="3:9" ht="14.4" thickTop="1" x14ac:dyDescent="0.25"/>
    <row r="73" spans="3:9" x14ac:dyDescent="0.25">
      <c r="D73" s="39"/>
      <c r="E73" s="39"/>
      <c r="F73" s="39"/>
      <c r="G73" s="39"/>
      <c r="H73" s="39"/>
      <c r="I73" s="39"/>
    </row>
    <row r="75" spans="3:9" ht="17.850000000000001" x14ac:dyDescent="0.35">
      <c r="C75" s="12" t="s">
        <v>236</v>
      </c>
      <c r="D75" s="11"/>
      <c r="E75" s="11"/>
      <c r="F75" s="11"/>
      <c r="G75" s="11"/>
      <c r="H75" s="11"/>
      <c r="I75" s="11"/>
    </row>
    <row r="76" spans="3:9" ht="15.55" x14ac:dyDescent="0.3">
      <c r="C76" s="13" t="s">
        <v>50</v>
      </c>
      <c r="D76" s="11"/>
      <c r="E76" s="11"/>
      <c r="F76" s="11"/>
      <c r="G76" s="11"/>
      <c r="H76" s="11"/>
      <c r="I76" s="11"/>
    </row>
    <row r="77" spans="3:9" ht="14.4" thickBot="1" x14ac:dyDescent="0.3">
      <c r="C77" s="14"/>
      <c r="D77" s="14"/>
      <c r="E77" s="14"/>
      <c r="F77" s="14"/>
      <c r="G77" s="14"/>
      <c r="H77" s="14"/>
      <c r="I77" s="14"/>
    </row>
    <row r="78" spans="3:9" x14ac:dyDescent="0.25">
      <c r="C78" s="15" t="s">
        <v>7</v>
      </c>
    </row>
    <row r="80" spans="3:9" x14ac:dyDescent="0.25">
      <c r="G80" s="35">
        <v>2019</v>
      </c>
      <c r="H80" s="35">
        <f>G80+1</f>
        <v>2020</v>
      </c>
      <c r="I80" s="35">
        <f>H80+1</f>
        <v>2021</v>
      </c>
    </row>
    <row r="81" spans="3:9" x14ac:dyDescent="0.25">
      <c r="C81" s="1" t="s">
        <v>51</v>
      </c>
    </row>
    <row r="82" spans="3:9" x14ac:dyDescent="0.25">
      <c r="D82" t="s">
        <v>52</v>
      </c>
      <c r="E82" s="15" t="s">
        <v>20</v>
      </c>
      <c r="G82" s="33">
        <f>G71</f>
        <v>78.51666666666668</v>
      </c>
      <c r="H82" s="33">
        <f>H71</f>
        <v>123.34226666666672</v>
      </c>
      <c r="I82" s="33">
        <f>I71</f>
        <v>203.56226666666674</v>
      </c>
    </row>
    <row r="83" spans="3:9" x14ac:dyDescent="0.25">
      <c r="D83" t="s">
        <v>53</v>
      </c>
      <c r="E83" s="15" t="s">
        <v>20</v>
      </c>
      <c r="G83" s="33">
        <v>47.773333333333333</v>
      </c>
      <c r="H83" s="33">
        <v>50.453333333333333</v>
      </c>
      <c r="I83" s="33">
        <v>50.56</v>
      </c>
    </row>
    <row r="84" spans="3:9" x14ac:dyDescent="0.25">
      <c r="D84" t="s">
        <v>54</v>
      </c>
      <c r="E84" s="15" t="s">
        <v>20</v>
      </c>
      <c r="G84" s="33">
        <v>11.24375</v>
      </c>
      <c r="H84" s="33">
        <v>12.877500000000001</v>
      </c>
      <c r="I84" s="33">
        <v>13.57375</v>
      </c>
    </row>
    <row r="85" spans="3:9" x14ac:dyDescent="0.25">
      <c r="D85" t="s">
        <v>32</v>
      </c>
      <c r="E85" s="15" t="s">
        <v>20</v>
      </c>
      <c r="G85" s="33">
        <v>18.426666666666666</v>
      </c>
      <c r="H85" s="33">
        <v>19.066666666666666</v>
      </c>
      <c r="I85" s="33">
        <v>19.353333333333332</v>
      </c>
    </row>
    <row r="86" spans="3:9" x14ac:dyDescent="0.25">
      <c r="D86" s="1" t="s">
        <v>55</v>
      </c>
      <c r="E86" s="15" t="s">
        <v>20</v>
      </c>
      <c r="G86" s="16">
        <f>SUM(G82:G85)</f>
        <v>155.9604166666667</v>
      </c>
      <c r="H86" s="16">
        <f t="shared" ref="H86:I86" si="12">SUM(H82:H85)</f>
        <v>205.7397666666667</v>
      </c>
      <c r="I86" s="16">
        <f t="shared" si="12"/>
        <v>287.04935000000012</v>
      </c>
    </row>
    <row r="88" spans="3:9" x14ac:dyDescent="0.25">
      <c r="D88" t="s">
        <v>56</v>
      </c>
      <c r="E88" s="15" t="s">
        <v>20</v>
      </c>
      <c r="G88" s="33">
        <v>40.886666666666663</v>
      </c>
      <c r="H88" s="33">
        <v>34.126666666666665</v>
      </c>
      <c r="I88" s="33">
        <v>35.773333333333333</v>
      </c>
    </row>
    <row r="89" spans="3:9" x14ac:dyDescent="0.25">
      <c r="D89" t="s">
        <v>57</v>
      </c>
      <c r="E89" s="15" t="s">
        <v>20</v>
      </c>
      <c r="G89" s="33">
        <v>7.7333333333333334</v>
      </c>
      <c r="H89" s="33">
        <v>7.7266666666666675</v>
      </c>
      <c r="I89" s="33">
        <v>7.7333333333333334</v>
      </c>
    </row>
    <row r="90" spans="3:9" x14ac:dyDescent="0.25">
      <c r="D90" t="s">
        <v>58</v>
      </c>
      <c r="E90" s="15" t="s">
        <v>20</v>
      </c>
      <c r="G90" s="33">
        <v>14.659999999999998</v>
      </c>
      <c r="H90" s="33">
        <v>14.706666666666667</v>
      </c>
      <c r="I90" s="33">
        <v>13.859999999999998</v>
      </c>
    </row>
    <row r="91" spans="3:9" x14ac:dyDescent="0.25">
      <c r="D91" t="s">
        <v>32</v>
      </c>
      <c r="E91" s="15" t="s">
        <v>20</v>
      </c>
      <c r="G91" s="33">
        <v>11.593333333333334</v>
      </c>
      <c r="H91" s="33">
        <v>12.966666666666667</v>
      </c>
      <c r="I91" s="33">
        <v>12.673333333333334</v>
      </c>
    </row>
    <row r="92" spans="3:9" x14ac:dyDescent="0.25">
      <c r="D92" s="1" t="s">
        <v>59</v>
      </c>
      <c r="E92" s="15" t="s">
        <v>20</v>
      </c>
      <c r="G92" s="16">
        <f>SUM(G88:G91)</f>
        <v>74.873333333333335</v>
      </c>
      <c r="H92" s="16">
        <f t="shared" ref="H92:I92" si="13">SUM(H88:H91)</f>
        <v>69.526666666666671</v>
      </c>
      <c r="I92" s="16">
        <f t="shared" si="13"/>
        <v>70.040000000000006</v>
      </c>
    </row>
    <row r="94" spans="3:9" ht="14.4" thickBot="1" x14ac:dyDescent="0.3">
      <c r="D94" s="1" t="s">
        <v>60</v>
      </c>
      <c r="E94" s="15" t="s">
        <v>20</v>
      </c>
      <c r="G94" s="32">
        <f>G86+G92</f>
        <v>230.83375000000004</v>
      </c>
      <c r="H94" s="32">
        <f t="shared" ref="H94:I94" si="14">H86+H92</f>
        <v>275.26643333333334</v>
      </c>
      <c r="I94" s="32">
        <f t="shared" si="14"/>
        <v>357.08935000000014</v>
      </c>
    </row>
    <row r="95" spans="3:9" ht="14.4" thickTop="1" x14ac:dyDescent="0.25"/>
    <row r="96" spans="3:9" x14ac:dyDescent="0.25">
      <c r="C96" s="1" t="s">
        <v>61</v>
      </c>
    </row>
    <row r="97" spans="4:9" x14ac:dyDescent="0.25">
      <c r="D97" t="s">
        <v>62</v>
      </c>
      <c r="E97" s="15" t="s">
        <v>20</v>
      </c>
      <c r="G97" s="33">
        <v>0.7</v>
      </c>
      <c r="H97" s="33">
        <v>0</v>
      </c>
      <c r="I97" s="33">
        <v>0</v>
      </c>
    </row>
    <row r="98" spans="4:9" x14ac:dyDescent="0.25">
      <c r="D98" t="s">
        <v>63</v>
      </c>
      <c r="E98" s="15" t="s">
        <v>20</v>
      </c>
      <c r="G98" s="33">
        <v>18.233333333333334</v>
      </c>
      <c r="H98" s="33">
        <v>22.613333333333333</v>
      </c>
      <c r="I98" s="33">
        <v>21.676666666666666</v>
      </c>
    </row>
    <row r="99" spans="4:9" x14ac:dyDescent="0.25">
      <c r="D99" t="s">
        <v>32</v>
      </c>
      <c r="E99" s="15" t="s">
        <v>20</v>
      </c>
      <c r="G99" s="33">
        <v>18.443333333333335</v>
      </c>
      <c r="H99" s="33">
        <v>19.141666666666666</v>
      </c>
      <c r="I99" s="33">
        <v>19.436666666666667</v>
      </c>
    </row>
    <row r="100" spans="4:9" x14ac:dyDescent="0.25">
      <c r="D100" s="1" t="s">
        <v>64</v>
      </c>
      <c r="E100" s="15" t="s">
        <v>20</v>
      </c>
      <c r="G100" s="16">
        <f>SUM(G97:G99)</f>
        <v>37.376666666666665</v>
      </c>
      <c r="H100" s="16">
        <f t="shared" ref="H100:I100" si="15">SUM(H97:H99)</f>
        <v>41.754999999999995</v>
      </c>
      <c r="I100" s="16">
        <f t="shared" si="15"/>
        <v>41.11333333333333</v>
      </c>
    </row>
    <row r="102" spans="4:9" x14ac:dyDescent="0.25">
      <c r="D102" t="s">
        <v>65</v>
      </c>
      <c r="E102" s="15" t="s">
        <v>20</v>
      </c>
      <c r="G102" s="33">
        <v>13.266666666666667</v>
      </c>
      <c r="H102" s="33">
        <v>13.353333333333333</v>
      </c>
      <c r="I102" s="33">
        <v>30.533333333333335</v>
      </c>
    </row>
    <row r="103" spans="4:9" x14ac:dyDescent="0.25">
      <c r="D103" t="s">
        <v>66</v>
      </c>
      <c r="E103" s="15" t="s">
        <v>20</v>
      </c>
      <c r="G103" s="33">
        <v>52.526666666666664</v>
      </c>
      <c r="H103" s="33">
        <v>57.366666666666667</v>
      </c>
      <c r="I103" s="33">
        <v>25.780000000000005</v>
      </c>
    </row>
    <row r="104" spans="4:9" x14ac:dyDescent="0.25">
      <c r="D104" t="s">
        <v>24</v>
      </c>
      <c r="E104" s="15" t="s">
        <v>20</v>
      </c>
      <c r="G104" s="33">
        <v>0.93333333333333335</v>
      </c>
      <c r="H104" s="33">
        <v>1.18</v>
      </c>
      <c r="I104" s="33">
        <v>1.9200000000000002</v>
      </c>
    </row>
    <row r="105" spans="4:9" x14ac:dyDescent="0.25">
      <c r="D105" t="s">
        <v>32</v>
      </c>
      <c r="E105" s="15" t="s">
        <v>20</v>
      </c>
      <c r="G105" s="33">
        <v>21.6</v>
      </c>
      <c r="H105" s="33">
        <v>26.313333333333336</v>
      </c>
      <c r="I105" s="33">
        <v>27.16</v>
      </c>
    </row>
    <row r="106" spans="4:9" x14ac:dyDescent="0.25">
      <c r="D106" s="1" t="s">
        <v>67</v>
      </c>
      <c r="E106" s="15" t="s">
        <v>20</v>
      </c>
      <c r="G106" s="16">
        <f>SUM(G102:G105)</f>
        <v>88.326666666666682</v>
      </c>
      <c r="H106" s="16">
        <f t="shared" ref="H106:I106" si="16">SUM(H102:H105)</f>
        <v>98.213333333333338</v>
      </c>
      <c r="I106" s="16">
        <f t="shared" si="16"/>
        <v>85.393333333333345</v>
      </c>
    </row>
    <row r="108" spans="4:9" x14ac:dyDescent="0.25">
      <c r="D108" s="1" t="s">
        <v>68</v>
      </c>
      <c r="E108" s="15" t="s">
        <v>20</v>
      </c>
      <c r="G108" s="16">
        <f>G100+G106</f>
        <v>125.70333333333335</v>
      </c>
      <c r="H108" s="16">
        <f t="shared" ref="H108:I108" si="17">H100+H106</f>
        <v>139.96833333333333</v>
      </c>
      <c r="I108" s="16">
        <f t="shared" si="17"/>
        <v>126.50666666666667</v>
      </c>
    </row>
    <row r="110" spans="4:9" x14ac:dyDescent="0.25">
      <c r="D110" t="s">
        <v>69</v>
      </c>
      <c r="E110" s="15" t="s">
        <v>20</v>
      </c>
      <c r="G110" s="33">
        <v>0.42666666666666669</v>
      </c>
      <c r="H110" s="33">
        <v>0.42666666666666669</v>
      </c>
      <c r="I110" s="33">
        <v>1.0933333333333333</v>
      </c>
    </row>
    <row r="111" spans="4:9" x14ac:dyDescent="0.25">
      <c r="D111" t="s">
        <v>70</v>
      </c>
      <c r="E111" s="15" t="s">
        <v>20</v>
      </c>
      <c r="G111" s="33">
        <v>24.345333333333333</v>
      </c>
      <c r="H111" s="33">
        <v>24.801266666666667</v>
      </c>
      <c r="I111" s="33">
        <v>23.091599999999996</v>
      </c>
    </row>
    <row r="112" spans="4:9" x14ac:dyDescent="0.25">
      <c r="D112" t="s">
        <v>71</v>
      </c>
      <c r="E112" s="15" t="s">
        <v>20</v>
      </c>
      <c r="G112" s="33">
        <v>19.637083333333358</v>
      </c>
      <c r="H112" s="33">
        <v>11.1908333333334</v>
      </c>
      <c r="I112" s="33">
        <v>23.340416666666663</v>
      </c>
    </row>
    <row r="113" spans="3:9" x14ac:dyDescent="0.25">
      <c r="D113" t="s">
        <v>32</v>
      </c>
      <c r="E113" s="15" t="s">
        <v>20</v>
      </c>
      <c r="G113" s="33">
        <v>60.721333333333007</v>
      </c>
      <c r="H113" s="33">
        <v>98.879333333332994</v>
      </c>
      <c r="I113" s="33">
        <v>183.05733333333336</v>
      </c>
    </row>
    <row r="114" spans="3:9" x14ac:dyDescent="0.25">
      <c r="D114" s="1" t="s">
        <v>72</v>
      </c>
      <c r="E114" s="15" t="s">
        <v>20</v>
      </c>
      <c r="G114" s="16">
        <f>SUM(G110:G113)</f>
        <v>105.13041666666636</v>
      </c>
      <c r="H114" s="16">
        <f t="shared" ref="H114" si="18">SUM(H110:H113)</f>
        <v>135.29809999999972</v>
      </c>
      <c r="I114" s="16">
        <f>SUM(I110:I113)</f>
        <v>230.58268333333336</v>
      </c>
    </row>
    <row r="116" spans="3:9" ht="14.4" thickBot="1" x14ac:dyDescent="0.3">
      <c r="D116" s="1" t="s">
        <v>73</v>
      </c>
      <c r="E116" s="15" t="s">
        <v>20</v>
      </c>
      <c r="G116" s="32">
        <f>G108+G114</f>
        <v>230.83374999999972</v>
      </c>
      <c r="H116" s="32">
        <f t="shared" ref="H116:I116" si="19">H108+H114</f>
        <v>275.26643333333305</v>
      </c>
      <c r="I116" s="32">
        <f t="shared" si="19"/>
        <v>357.08935000000002</v>
      </c>
    </row>
    <row r="117" spans="3:9" ht="14.4" thickTop="1" x14ac:dyDescent="0.25"/>
    <row r="118" spans="3:9" x14ac:dyDescent="0.25">
      <c r="C118" s="39"/>
      <c r="D118" s="39" t="s">
        <v>256</v>
      </c>
      <c r="E118" s="39"/>
      <c r="F118" s="39"/>
      <c r="G118" s="123">
        <f>G94-G116</f>
        <v>3.1263880373444408E-13</v>
      </c>
      <c r="H118" s="123">
        <f t="shared" ref="H118:I118" si="20">H94-H116</f>
        <v>0</v>
      </c>
      <c r="I118" s="123">
        <f t="shared" si="20"/>
        <v>0</v>
      </c>
    </row>
    <row r="119" spans="3:9" x14ac:dyDescent="0.25">
      <c r="C119" s="50"/>
      <c r="D119" s="50"/>
      <c r="E119" s="50"/>
      <c r="F119" s="50"/>
      <c r="G119" s="125"/>
      <c r="H119" s="125"/>
      <c r="I119" s="125"/>
    </row>
  </sheetData>
  <dataValidations disablePrompts="1" count="1">
    <dataValidation type="custom" allowBlank="1" showInputMessage="1" showErrorMessage="1" sqref="F10" xr:uid="{28E07E95-D986-4782-A2B7-7A7973AF1F43}">
      <formula1>"Amara, Chuckwu, Sun, Moon, Noon"</formula1>
    </dataValidation>
  </dataValidations>
  <pageMargins left="0.7" right="0.7" top="0.75" bottom="0.75" header="0.3" footer="0.3"/>
  <pageSetup fitToHeight="0" orientation="landscape" r:id="rId1"/>
  <headerFooter>
    <oddFooter>&amp;LPrinted on: &amp;D at &amp;T&amp;C&amp;A&amp;R&amp;P of &amp;N</oddFooter>
  </headerFooter>
  <rowBreaks count="1" manualBreakCount="1">
    <brk id="36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893E-5739-48C7-80D1-85239A1813BE}">
  <sheetPr>
    <outlinePr summaryBelow="0" summaryRight="0"/>
    <pageSetUpPr autoPageBreaks="0" fitToPage="1"/>
  </sheetPr>
  <dimension ref="A1:P83"/>
  <sheetViews>
    <sheetView showGridLines="0" zoomScale="85" zoomScaleNormal="85" workbookViewId="0">
      <pane ySplit="6" topLeftCell="A7" activePane="bottomLeft" state="frozen"/>
      <selection activeCell="E11" sqref="E11"/>
      <selection pane="bottomLeft" activeCell="A7" sqref="A7"/>
    </sheetView>
  </sheetViews>
  <sheetFormatPr defaultRowHeight="13.85" x14ac:dyDescent="0.25"/>
  <cols>
    <col min="1" max="3" width="2.81640625" customWidth="1"/>
    <col min="5" max="5" width="11.08984375" bestFit="1" customWidth="1"/>
    <col min="6" max="6" width="8.453125" bestFit="1" customWidth="1"/>
    <col min="9" max="16" width="11" customWidth="1"/>
  </cols>
  <sheetData>
    <row r="1" spans="1:16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7.850000000000001" x14ac:dyDescent="0.35">
      <c r="A2" s="40"/>
      <c r="B2" s="41" t="str">
        <f>Cover!$C$7</f>
        <v>Nudu Noodles</v>
      </c>
      <c r="C2" s="40"/>
      <c r="D2" s="40"/>
      <c r="E2" s="40"/>
      <c r="F2" s="40"/>
      <c r="G2" s="40"/>
      <c r="H2" s="40"/>
      <c r="I2" s="44" t="str">
        <f>"Financial Forecast "&amp;$L$6&amp;" to "&amp;$P$6</f>
        <v>Financial Forecast 2022 to 2026</v>
      </c>
      <c r="J2" s="44"/>
      <c r="K2" s="44"/>
      <c r="L2" s="44"/>
      <c r="M2" s="40"/>
      <c r="N2" s="40"/>
      <c r="O2" s="40"/>
      <c r="P2" s="40"/>
    </row>
    <row r="3" spans="1:16" x14ac:dyDescent="0.25">
      <c r="A3" s="40"/>
      <c r="B3" s="42" t="s">
        <v>74</v>
      </c>
      <c r="C3" s="40"/>
      <c r="D3" s="40"/>
      <c r="E3" s="40"/>
      <c r="F3" s="40"/>
      <c r="G3" s="40"/>
      <c r="H3" s="40"/>
      <c r="I3" s="126" t="str">
        <f ca="1">"BS Check: "&amp;IF(Model!F115=0,"OK","ERROR")</f>
        <v>BS Check: OK</v>
      </c>
      <c r="J3" s="127"/>
      <c r="K3" s="126" t="str">
        <f>Scenarioused</f>
        <v>Scenario: Base Case</v>
      </c>
      <c r="L3" s="127"/>
      <c r="M3" s="40"/>
      <c r="N3" s="40"/>
      <c r="O3" s="40"/>
      <c r="P3" s="40"/>
    </row>
    <row r="5" spans="1:16" x14ac:dyDescent="0.25">
      <c r="I5" s="43" t="s">
        <v>75</v>
      </c>
      <c r="J5" s="43" t="s">
        <v>75</v>
      </c>
      <c r="K5" s="43" t="s">
        <v>75</v>
      </c>
      <c r="L5" s="43" t="s">
        <v>76</v>
      </c>
      <c r="M5" s="43" t="s">
        <v>76</v>
      </c>
      <c r="N5" s="43" t="s">
        <v>76</v>
      </c>
      <c r="O5" s="43" t="s">
        <v>76</v>
      </c>
      <c r="P5" s="43" t="s">
        <v>76</v>
      </c>
    </row>
    <row r="6" spans="1:16" x14ac:dyDescent="0.25">
      <c r="B6" s="39"/>
      <c r="C6" s="39"/>
      <c r="D6" s="39"/>
      <c r="E6" s="39"/>
      <c r="F6" s="39" t="s">
        <v>85</v>
      </c>
      <c r="G6" s="39" t="s">
        <v>81</v>
      </c>
      <c r="H6" s="39"/>
      <c r="I6" s="45">
        <f>J6-1</f>
        <v>2019</v>
      </c>
      <c r="J6" s="45">
        <f>K6-1</f>
        <v>2020</v>
      </c>
      <c r="K6" s="45">
        <f>Cover!$D$12</f>
        <v>2021</v>
      </c>
      <c r="L6" s="46">
        <f>K6+1</f>
        <v>2022</v>
      </c>
      <c r="M6" s="46">
        <f t="shared" ref="M6:P6" si="0">L6+1</f>
        <v>2023</v>
      </c>
      <c r="N6" s="46">
        <f t="shared" si="0"/>
        <v>2024</v>
      </c>
      <c r="O6" s="46">
        <f t="shared" si="0"/>
        <v>2025</v>
      </c>
      <c r="P6" s="46">
        <f t="shared" si="0"/>
        <v>2026</v>
      </c>
    </row>
    <row r="7" spans="1:16" x14ac:dyDescent="0.25">
      <c r="B7" s="50"/>
      <c r="C7" s="50"/>
      <c r="D7" s="50"/>
      <c r="E7" s="50"/>
      <c r="F7" s="50"/>
      <c r="G7" s="50"/>
      <c r="H7" s="50"/>
      <c r="I7" s="90"/>
      <c r="J7" s="90"/>
      <c r="K7" s="90"/>
      <c r="L7" s="91"/>
      <c r="M7" s="91"/>
      <c r="N7" s="91"/>
      <c r="O7" s="91"/>
      <c r="P7" s="91"/>
    </row>
    <row r="8" spans="1:16" ht="16.149999999999999" thickBot="1" x14ac:dyDescent="0.35">
      <c r="B8" s="48" t="s">
        <v>212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10" spans="1:16" x14ac:dyDescent="0.25">
      <c r="C10" s="52" t="s">
        <v>11</v>
      </c>
    </row>
    <row r="11" spans="1:16" x14ac:dyDescent="0.25">
      <c r="D11" t="s">
        <v>149</v>
      </c>
      <c r="F11" s="102" t="s">
        <v>20</v>
      </c>
      <c r="I11">
        <v>520</v>
      </c>
      <c r="J11">
        <v>515.5</v>
      </c>
      <c r="K11">
        <v>532</v>
      </c>
      <c r="L11">
        <v>559.49112500000001</v>
      </c>
      <c r="M11">
        <v>652.44488516624995</v>
      </c>
      <c r="N11">
        <v>678.17707496446656</v>
      </c>
      <c r="O11">
        <v>682.19360963006238</v>
      </c>
      <c r="P11">
        <v>734.28791854435747</v>
      </c>
    </row>
    <row r="12" spans="1:16" x14ac:dyDescent="0.25">
      <c r="D12" t="s">
        <v>211</v>
      </c>
      <c r="F12" s="15" t="s">
        <v>21</v>
      </c>
      <c r="J12" s="56">
        <v>-8.6538461538461231E-3</v>
      </c>
      <c r="K12" s="56">
        <v>3.2007759456837981E-2</v>
      </c>
      <c r="L12" s="56">
        <v>5.1675046992481155E-2</v>
      </c>
      <c r="M12" s="56">
        <v>0.16613982959291795</v>
      </c>
      <c r="N12" s="56">
        <v>3.9439637559055774E-2</v>
      </c>
      <c r="O12" s="56">
        <v>5.9225456210036942E-3</v>
      </c>
      <c r="P12" s="56">
        <v>7.6362938876757491E-2</v>
      </c>
    </row>
    <row r="13" spans="1:16" x14ac:dyDescent="0.25">
      <c r="C13" s="52" t="s">
        <v>210</v>
      </c>
    </row>
    <row r="14" spans="1:16" x14ac:dyDescent="0.25">
      <c r="D14" t="s">
        <v>210</v>
      </c>
      <c r="F14" s="102" t="s">
        <v>20</v>
      </c>
      <c r="I14">
        <v>244.99</v>
      </c>
      <c r="J14">
        <v>217.86</v>
      </c>
      <c r="K14">
        <v>250.54000000000002</v>
      </c>
      <c r="L14">
        <v>228.52209166666671</v>
      </c>
      <c r="M14">
        <v>309.89193566624999</v>
      </c>
      <c r="N14">
        <v>325.34753697946655</v>
      </c>
      <c r="O14">
        <v>318.07352642954237</v>
      </c>
      <c r="P14">
        <v>357.42363243181933</v>
      </c>
    </row>
    <row r="15" spans="1:16" x14ac:dyDescent="0.25">
      <c r="D15" t="s">
        <v>211</v>
      </c>
      <c r="F15" s="15" t="s">
        <v>21</v>
      </c>
      <c r="J15" s="56">
        <v>-0.11073921384546304</v>
      </c>
      <c r="K15" s="56">
        <v>0.15000459010373635</v>
      </c>
      <c r="L15" s="56">
        <v>-8.7881808626699587E-2</v>
      </c>
      <c r="M15" s="56">
        <v>0.35606992482054323</v>
      </c>
      <c r="N15" s="56">
        <v>4.9874164295330647E-2</v>
      </c>
      <c r="O15" s="56">
        <v>-2.2357662877845241E-2</v>
      </c>
      <c r="P15" s="56">
        <v>0.12371386718030908</v>
      </c>
    </row>
    <row r="16" spans="1:16" x14ac:dyDescent="0.25">
      <c r="D16" t="s">
        <v>202</v>
      </c>
      <c r="F16" s="15" t="s">
        <v>21</v>
      </c>
      <c r="I16" s="56">
        <v>0.47113461538461543</v>
      </c>
      <c r="J16" s="56">
        <v>0.42261881668283224</v>
      </c>
      <c r="K16" s="56">
        <v>0.47093984962406021</v>
      </c>
      <c r="L16" s="56">
        <v>0.40844632105052014</v>
      </c>
      <c r="M16" s="56">
        <v>0.47497028900347071</v>
      </c>
      <c r="N16" s="56">
        <v>0.47973832939798694</v>
      </c>
      <c r="O16" s="56">
        <v>0.46625110810115356</v>
      </c>
      <c r="P16" s="56">
        <v>0.4867622405396117</v>
      </c>
    </row>
    <row r="17" spans="2:16" x14ac:dyDescent="0.25">
      <c r="C17" s="52" t="s">
        <v>181</v>
      </c>
    </row>
    <row r="18" spans="2:16" x14ac:dyDescent="0.25">
      <c r="D18" t="s">
        <v>181</v>
      </c>
      <c r="F18" s="102" t="s">
        <v>20</v>
      </c>
      <c r="I18">
        <v>62.490000000000016</v>
      </c>
      <c r="J18">
        <v>39.336666666666709</v>
      </c>
      <c r="K18">
        <v>83.860000000000028</v>
      </c>
      <c r="L18">
        <v>142.52622641400004</v>
      </c>
      <c r="M18">
        <v>181.68443172335103</v>
      </c>
      <c r="N18">
        <v>174.59943319660658</v>
      </c>
      <c r="O18">
        <v>148.73020835716875</v>
      </c>
      <c r="P18">
        <v>160.24538539673154</v>
      </c>
    </row>
    <row r="19" spans="2:16" x14ac:dyDescent="0.25">
      <c r="D19" t="s">
        <v>211</v>
      </c>
      <c r="F19" s="15" t="s">
        <v>95</v>
      </c>
      <c r="J19" s="56">
        <v>-0.37051261535178914</v>
      </c>
      <c r="K19" s="56">
        <v>1.1318532327768818</v>
      </c>
      <c r="L19" s="56">
        <v>0.69957341299785347</v>
      </c>
      <c r="M19" s="56">
        <v>0.27474385798728029</v>
      </c>
      <c r="N19" s="56">
        <v>-3.8996178481228938E-2</v>
      </c>
      <c r="O19" s="56">
        <v>-0.14816328074964569</v>
      </c>
      <c r="P19" s="56">
        <v>7.7423256289062881E-2</v>
      </c>
    </row>
    <row r="20" spans="2:16" x14ac:dyDescent="0.25">
      <c r="D20" t="s">
        <v>205</v>
      </c>
      <c r="F20" s="15" t="s">
        <v>95</v>
      </c>
      <c r="I20" s="56">
        <v>0.12017307692307695</v>
      </c>
      <c r="J20" s="56">
        <v>7.6307791787908266E-2</v>
      </c>
      <c r="K20" s="56">
        <v>0.15763157894736848</v>
      </c>
      <c r="L20" s="56">
        <v>0.25474260456589015</v>
      </c>
      <c r="M20" s="56">
        <v>0.27846709485208992</v>
      </c>
      <c r="N20" s="56">
        <v>0.25745404797965904</v>
      </c>
      <c r="O20" s="56">
        <v>0.21801759245124219</v>
      </c>
      <c r="P20" s="56">
        <v>0.21823236001812454</v>
      </c>
    </row>
    <row r="21" spans="2:16" x14ac:dyDescent="0.25">
      <c r="C21" s="52" t="s">
        <v>203</v>
      </c>
    </row>
    <row r="22" spans="2:16" x14ac:dyDescent="0.25">
      <c r="D22" t="s">
        <v>204</v>
      </c>
      <c r="F22" s="15" t="s">
        <v>21</v>
      </c>
      <c r="I22" s="56">
        <v>0.59440456892827742</v>
      </c>
      <c r="J22" s="56">
        <v>0.29074071747250546</v>
      </c>
      <c r="K22" s="56">
        <v>0.36368732806691695</v>
      </c>
      <c r="L22" s="56">
        <v>0.39326708580111452</v>
      </c>
      <c r="M22" s="56">
        <v>0.30884325040468763</v>
      </c>
      <c r="N22" s="56">
        <v>0.25347678104025329</v>
      </c>
      <c r="O22" s="56">
        <v>0.18709128161427283</v>
      </c>
      <c r="P22" s="56">
        <v>0.16696759299903557</v>
      </c>
    </row>
    <row r="23" spans="2:16" x14ac:dyDescent="0.25">
      <c r="D23" t="s">
        <v>205</v>
      </c>
      <c r="F23" s="15" t="s">
        <v>21</v>
      </c>
      <c r="I23" s="56">
        <v>0.12017307692307695</v>
      </c>
      <c r="J23" s="56">
        <v>7.6307791787908266E-2</v>
      </c>
      <c r="K23" s="56">
        <v>0.15763157894736848</v>
      </c>
      <c r="L23" s="56">
        <v>0.25474260456589015</v>
      </c>
      <c r="M23" s="56">
        <v>0.27846709485208992</v>
      </c>
      <c r="N23" s="56">
        <v>0.25745404797965904</v>
      </c>
      <c r="O23" s="56">
        <v>0.21801759245124219</v>
      </c>
      <c r="P23" s="56">
        <v>0.21823236001812454</v>
      </c>
    </row>
    <row r="24" spans="2:16" x14ac:dyDescent="0.25">
      <c r="D24" t="s">
        <v>206</v>
      </c>
      <c r="F24" s="15" t="s">
        <v>208</v>
      </c>
      <c r="I24" s="77">
        <v>2.2527035149756043</v>
      </c>
      <c r="J24" s="77">
        <v>1.8727310618936102</v>
      </c>
      <c r="K24" s="77">
        <v>1.4898232053126195</v>
      </c>
      <c r="L24" s="77">
        <v>1.2510739801970168</v>
      </c>
      <c r="M24" s="77">
        <v>0.82083257565462353</v>
      </c>
      <c r="N24" s="77">
        <v>0.74364546142936339</v>
      </c>
      <c r="O24" s="77">
        <v>0.49172519921110852</v>
      </c>
      <c r="P24" s="77">
        <v>0.5550311593206847</v>
      </c>
    </row>
    <row r="25" spans="2:16" x14ac:dyDescent="0.25">
      <c r="D25" t="s">
        <v>207</v>
      </c>
      <c r="F25" s="15" t="s">
        <v>208</v>
      </c>
      <c r="I25" s="77">
        <v>2.1956894809225118</v>
      </c>
      <c r="J25" s="77">
        <v>2.0345180999092665</v>
      </c>
      <c r="K25" s="77">
        <v>1.5486390601317925</v>
      </c>
      <c r="L25" s="77">
        <v>1.2339655164644683</v>
      </c>
      <c r="M25" s="77">
        <v>1.3511689201216259</v>
      </c>
      <c r="N25" s="77">
        <v>1.3239528745462295</v>
      </c>
      <c r="O25" s="77">
        <v>1.7451772607687348</v>
      </c>
      <c r="P25" s="77">
        <v>1.378464773301203</v>
      </c>
    </row>
    <row r="27" spans="2:16" ht="16.149999999999999" thickBot="1" x14ac:dyDescent="0.35">
      <c r="B27" s="48" t="s">
        <v>213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9" spans="2:16" x14ac:dyDescent="0.25">
      <c r="C29" s="52" t="s">
        <v>11</v>
      </c>
    </row>
    <row r="30" spans="2:16" x14ac:dyDescent="0.25">
      <c r="D30" t="s">
        <v>149</v>
      </c>
      <c r="F30" s="102" t="s">
        <v>20</v>
      </c>
      <c r="I30">
        <v>520</v>
      </c>
      <c r="J30">
        <v>515.5</v>
      </c>
      <c r="K30">
        <v>532</v>
      </c>
      <c r="L30">
        <v>564.59707500000002</v>
      </c>
      <c r="M30">
        <v>664.80464874000006</v>
      </c>
      <c r="N30">
        <v>699.81242656975496</v>
      </c>
      <c r="O30">
        <v>699.58412678549985</v>
      </c>
      <c r="P30">
        <v>755.91088929465002</v>
      </c>
    </row>
    <row r="31" spans="2:16" x14ac:dyDescent="0.25">
      <c r="D31" t="s">
        <v>211</v>
      </c>
      <c r="F31" s="15" t="s">
        <v>21</v>
      </c>
      <c r="J31" s="56">
        <v>-8.6538461538461231E-3</v>
      </c>
      <c r="K31" s="56">
        <v>3.2007759456837981E-2</v>
      </c>
      <c r="L31" s="56">
        <v>6.1272697368421003E-2</v>
      </c>
      <c r="M31" s="56">
        <v>0.17748510960670494</v>
      </c>
      <c r="N31" s="56">
        <v>5.2658744032709315E-2</v>
      </c>
      <c r="O31" s="56">
        <v>-3.262299661841439E-4</v>
      </c>
      <c r="P31" s="56">
        <v>8.051463770049283E-2</v>
      </c>
    </row>
    <row r="32" spans="2:16" x14ac:dyDescent="0.25">
      <c r="C32" s="52" t="s">
        <v>210</v>
      </c>
    </row>
    <row r="33" spans="2:16" x14ac:dyDescent="0.25">
      <c r="D33" t="s">
        <v>210</v>
      </c>
      <c r="F33" s="102" t="s">
        <v>20</v>
      </c>
      <c r="I33">
        <v>244.99</v>
      </c>
      <c r="J33">
        <v>217.86</v>
      </c>
      <c r="K33">
        <v>250.54000000000002</v>
      </c>
      <c r="L33">
        <v>232.72042500000003</v>
      </c>
      <c r="M33">
        <v>324.63108249000015</v>
      </c>
      <c r="N33">
        <v>352.83538899475502</v>
      </c>
      <c r="O33">
        <v>344.9735943838499</v>
      </c>
      <c r="P33">
        <v>392.43509358295887</v>
      </c>
    </row>
    <row r="34" spans="2:16" x14ac:dyDescent="0.25">
      <c r="D34" t="s">
        <v>211</v>
      </c>
      <c r="F34" s="15" t="s">
        <v>21</v>
      </c>
      <c r="J34" s="56">
        <v>-0.11073921384546304</v>
      </c>
      <c r="K34" s="56">
        <v>0.15000459010373635</v>
      </c>
      <c r="L34" s="56">
        <v>-7.1124670711263605E-2</v>
      </c>
      <c r="M34" s="56">
        <v>0.39494022705570475</v>
      </c>
      <c r="N34" s="56">
        <v>8.6881102969009971E-2</v>
      </c>
      <c r="O34" s="56">
        <v>-2.2281763270129318E-2</v>
      </c>
      <c r="P34" s="56">
        <v>0.13758009300357887</v>
      </c>
    </row>
    <row r="35" spans="2:16" x14ac:dyDescent="0.25">
      <c r="D35" t="s">
        <v>202</v>
      </c>
      <c r="F35" s="15" t="s">
        <v>21</v>
      </c>
      <c r="I35" s="56">
        <v>0.47113461538461543</v>
      </c>
      <c r="J35" s="56">
        <v>0.42261881668283224</v>
      </c>
      <c r="K35" s="56">
        <v>0.47093984962406021</v>
      </c>
      <c r="L35" s="56">
        <v>0.41218850629008313</v>
      </c>
      <c r="M35" s="56">
        <v>0.48831048805881749</v>
      </c>
      <c r="N35" s="56">
        <v>0.50418565832595363</v>
      </c>
      <c r="O35" s="56">
        <v>0.49311238087827941</v>
      </c>
      <c r="P35" s="56">
        <v>0.51915523263482155</v>
      </c>
    </row>
    <row r="36" spans="2:16" x14ac:dyDescent="0.25">
      <c r="C36" s="52" t="s">
        <v>181</v>
      </c>
    </row>
    <row r="37" spans="2:16" x14ac:dyDescent="0.25">
      <c r="D37" t="s">
        <v>181</v>
      </c>
      <c r="F37" s="102" t="s">
        <v>20</v>
      </c>
      <c r="I37">
        <v>62.490000000000016</v>
      </c>
      <c r="J37">
        <v>39.336666666666709</v>
      </c>
      <c r="K37">
        <v>83.860000000000028</v>
      </c>
      <c r="L37">
        <v>145.24994584371086</v>
      </c>
      <c r="M37">
        <v>191.23379877860654</v>
      </c>
      <c r="N37">
        <v>192.72512422700484</v>
      </c>
      <c r="O37">
        <v>166.97716706786036</v>
      </c>
      <c r="P37">
        <v>184.19874456034438</v>
      </c>
    </row>
    <row r="38" spans="2:16" x14ac:dyDescent="0.25">
      <c r="D38" t="s">
        <v>211</v>
      </c>
      <c r="F38" s="15" t="s">
        <v>95</v>
      </c>
      <c r="J38" s="56">
        <v>-0.37051261535178914</v>
      </c>
      <c r="K38" s="56">
        <v>1.1318532327768818</v>
      </c>
      <c r="L38" s="56">
        <v>0.73205277657656587</v>
      </c>
      <c r="M38" s="56">
        <v>0.31658430347625988</v>
      </c>
      <c r="N38" s="56">
        <v>7.798440745952151E-3</v>
      </c>
      <c r="O38" s="56">
        <v>-0.13359938026978135</v>
      </c>
      <c r="P38" s="56">
        <v>0.10313731987969987</v>
      </c>
    </row>
    <row r="39" spans="2:16" x14ac:dyDescent="0.25">
      <c r="D39" t="s">
        <v>205</v>
      </c>
      <c r="F39" s="15" t="s">
        <v>95</v>
      </c>
      <c r="I39" s="56">
        <v>0.12017307692307695</v>
      </c>
      <c r="J39" s="56">
        <v>7.6307791787908266E-2</v>
      </c>
      <c r="K39" s="56">
        <v>0.15763157894736848</v>
      </c>
      <c r="L39" s="56">
        <v>0.25726301512226368</v>
      </c>
      <c r="M39" s="56">
        <v>0.28765412387090061</v>
      </c>
      <c r="N39" s="56">
        <v>0.27539540155306835</v>
      </c>
      <c r="O39" s="56">
        <v>0.23868061134419849</v>
      </c>
      <c r="P39" s="56">
        <v>0.2436778556427763</v>
      </c>
    </row>
    <row r="40" spans="2:16" x14ac:dyDescent="0.25">
      <c r="C40" s="52" t="s">
        <v>203</v>
      </c>
    </row>
    <row r="41" spans="2:16" x14ac:dyDescent="0.25">
      <c r="D41" t="s">
        <v>204</v>
      </c>
      <c r="F41" s="15" t="s">
        <v>21</v>
      </c>
      <c r="I41" s="56">
        <v>0.59440456892827742</v>
      </c>
      <c r="J41" s="56">
        <v>0.29074071747250546</v>
      </c>
      <c r="K41" s="56">
        <v>0.36368732806691695</v>
      </c>
      <c r="L41" s="56">
        <v>0.39853615422930005</v>
      </c>
      <c r="M41" s="56">
        <v>0.32006795455585579</v>
      </c>
      <c r="N41" s="56">
        <v>0.27082691041485096</v>
      </c>
      <c r="O41" s="56">
        <v>0.20082768455164599</v>
      </c>
      <c r="P41" s="56">
        <v>0.18162173313978544</v>
      </c>
    </row>
    <row r="42" spans="2:16" x14ac:dyDescent="0.25">
      <c r="D42" t="s">
        <v>205</v>
      </c>
      <c r="F42" s="15" t="s">
        <v>21</v>
      </c>
      <c r="I42" s="56">
        <v>0.12017307692307695</v>
      </c>
      <c r="J42" s="56">
        <v>7.6307791787908266E-2</v>
      </c>
      <c r="K42" s="56">
        <v>0.15763157894736848</v>
      </c>
      <c r="L42" s="56">
        <v>0.25726301512226368</v>
      </c>
      <c r="M42" s="56">
        <v>0.28765412387090061</v>
      </c>
      <c r="N42" s="56">
        <v>0.27539540155306835</v>
      </c>
      <c r="O42" s="56">
        <v>0.23868061134419849</v>
      </c>
      <c r="P42" s="56">
        <v>0.2436778556427763</v>
      </c>
    </row>
    <row r="43" spans="2:16" x14ac:dyDescent="0.25">
      <c r="D43" t="s">
        <v>206</v>
      </c>
      <c r="F43" s="15" t="s">
        <v>208</v>
      </c>
      <c r="I43" s="77">
        <v>2.2527035149756043</v>
      </c>
      <c r="J43" s="77">
        <v>1.8727310618936102</v>
      </c>
      <c r="K43" s="77">
        <v>1.4898232053126195</v>
      </c>
      <c r="L43" s="77">
        <v>1.2561930516573265</v>
      </c>
      <c r="M43" s="77">
        <v>0.82706063824785103</v>
      </c>
      <c r="N43" s="77">
        <v>0.76611024275832385</v>
      </c>
      <c r="O43" s="77">
        <v>0.50400227600469427</v>
      </c>
      <c r="P43" s="77">
        <v>0.57107041013408055</v>
      </c>
    </row>
    <row r="44" spans="2:16" x14ac:dyDescent="0.25">
      <c r="D44" t="s">
        <v>207</v>
      </c>
      <c r="F44" s="15" t="s">
        <v>208</v>
      </c>
      <c r="I44" s="77">
        <v>2.1956894809225118</v>
      </c>
      <c r="J44" s="77">
        <v>2.0345180999092665</v>
      </c>
      <c r="K44" s="77">
        <v>1.5486390601317925</v>
      </c>
      <c r="L44" s="77">
        <v>1.2332013273903322</v>
      </c>
      <c r="M44" s="77">
        <v>1.3453467615496095</v>
      </c>
      <c r="N44" s="77">
        <v>1.2836418336417368</v>
      </c>
      <c r="O44" s="77">
        <v>1.6694520196248581</v>
      </c>
      <c r="P44" s="77">
        <v>1.3051550061491322</v>
      </c>
    </row>
    <row r="46" spans="2:16" ht="16.149999999999999" thickBot="1" x14ac:dyDescent="0.35">
      <c r="B46" s="48" t="s">
        <v>214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8" spans="2:16" x14ac:dyDescent="0.25">
      <c r="C48" s="52" t="s">
        <v>11</v>
      </c>
    </row>
    <row r="49" spans="3:16" x14ac:dyDescent="0.25">
      <c r="D49" t="s">
        <v>149</v>
      </c>
      <c r="F49" s="102" t="s">
        <v>20</v>
      </c>
      <c r="I49">
        <v>520</v>
      </c>
      <c r="J49">
        <v>515.5</v>
      </c>
      <c r="K49">
        <v>532</v>
      </c>
      <c r="L49">
        <v>554.40824999999995</v>
      </c>
      <c r="M49">
        <v>643.26086145000011</v>
      </c>
      <c r="N49">
        <v>665.35730239918496</v>
      </c>
      <c r="O49">
        <v>673.40068225469997</v>
      </c>
      <c r="P49">
        <v>711.94881770797099</v>
      </c>
    </row>
    <row r="50" spans="3:16" x14ac:dyDescent="0.25">
      <c r="D50" t="s">
        <v>211</v>
      </c>
      <c r="F50" s="15" t="s">
        <v>21</v>
      </c>
      <c r="J50" s="56">
        <v>-8.6538461538461231E-3</v>
      </c>
      <c r="K50" s="56">
        <v>3.2007759456837981E-2</v>
      </c>
      <c r="L50" s="56">
        <v>4.2120770676691732E-2</v>
      </c>
      <c r="M50" s="56">
        <v>0.16026567326514374</v>
      </c>
      <c r="N50" s="56">
        <v>3.4350669026211866E-2</v>
      </c>
      <c r="O50" s="56">
        <v>1.2088812772493407E-2</v>
      </c>
      <c r="P50" s="56">
        <v>5.7243980395450533E-2</v>
      </c>
    </row>
    <row r="51" spans="3:16" x14ac:dyDescent="0.25">
      <c r="C51" s="52" t="s">
        <v>210</v>
      </c>
    </row>
    <row r="52" spans="3:16" x14ac:dyDescent="0.25">
      <c r="D52" t="s">
        <v>210</v>
      </c>
      <c r="F52" s="102" t="s">
        <v>20</v>
      </c>
      <c r="I52">
        <v>244.99</v>
      </c>
      <c r="J52">
        <v>217.86</v>
      </c>
      <c r="K52">
        <v>250.54000000000002</v>
      </c>
      <c r="L52">
        <v>224.34683333333328</v>
      </c>
      <c r="M52">
        <v>296.69637395000007</v>
      </c>
      <c r="N52">
        <v>303.19741296168502</v>
      </c>
      <c r="O52">
        <v>294.21927801363756</v>
      </c>
      <c r="P52">
        <v>313.80834325485546</v>
      </c>
    </row>
    <row r="53" spans="3:16" x14ac:dyDescent="0.25">
      <c r="D53" t="s">
        <v>211</v>
      </c>
      <c r="F53" s="15" t="s">
        <v>21</v>
      </c>
      <c r="J53" s="56">
        <v>-0.11073921384546304</v>
      </c>
      <c r="K53" s="56">
        <v>0.15000459010373635</v>
      </c>
      <c r="L53" s="56">
        <v>-0.10454684548042925</v>
      </c>
      <c r="M53" s="56">
        <v>0.3224896894763396</v>
      </c>
      <c r="N53" s="56">
        <v>2.1911420504183488E-2</v>
      </c>
      <c r="O53" s="56">
        <v>-2.961151567999043E-2</v>
      </c>
      <c r="P53" s="56">
        <v>6.6579815481397242E-2</v>
      </c>
    </row>
    <row r="54" spans="3:16" x14ac:dyDescent="0.25">
      <c r="D54" t="s">
        <v>202</v>
      </c>
      <c r="F54" s="15" t="s">
        <v>21</v>
      </c>
      <c r="I54" s="56">
        <v>0.47113461538461543</v>
      </c>
      <c r="J54" s="56">
        <v>0.42261881668283224</v>
      </c>
      <c r="K54" s="56">
        <v>0.47093984962406021</v>
      </c>
      <c r="L54" s="56">
        <v>0.40465998356505933</v>
      </c>
      <c r="M54" s="56">
        <v>0.46123803223657173</v>
      </c>
      <c r="N54" s="56">
        <v>0.45569111794279216</v>
      </c>
      <c r="O54" s="56">
        <v>0.43691562210558493</v>
      </c>
      <c r="P54" s="56">
        <v>0.44077374026003957</v>
      </c>
    </row>
    <row r="55" spans="3:16" x14ac:dyDescent="0.25">
      <c r="C55" s="52" t="s">
        <v>181</v>
      </c>
    </row>
    <row r="56" spans="3:16" x14ac:dyDescent="0.25">
      <c r="D56" t="s">
        <v>181</v>
      </c>
      <c r="F56" s="102" t="s">
        <v>20</v>
      </c>
      <c r="I56">
        <v>62.490000000000016</v>
      </c>
      <c r="J56">
        <v>39.336666666666709</v>
      </c>
      <c r="K56">
        <v>83.860000000000028</v>
      </c>
      <c r="L56">
        <v>139.8174763759398</v>
      </c>
      <c r="M56">
        <v>173.13672692005383</v>
      </c>
      <c r="N56">
        <v>159.97821202690577</v>
      </c>
      <c r="O56">
        <v>132.55877671174846</v>
      </c>
      <c r="P56">
        <v>130.7739163333662</v>
      </c>
    </row>
    <row r="57" spans="3:16" x14ac:dyDescent="0.25">
      <c r="D57" t="s">
        <v>211</v>
      </c>
      <c r="F57" s="15" t="s">
        <v>95</v>
      </c>
      <c r="J57" s="56">
        <v>-0.37051261535178914</v>
      </c>
      <c r="K57" s="56">
        <v>1.1318532327768818</v>
      </c>
      <c r="L57" s="56">
        <v>0.66727255397018559</v>
      </c>
      <c r="M57" s="56">
        <v>0.23830533498205586</v>
      </c>
      <c r="N57" s="56">
        <v>-7.6000714159417115E-2</v>
      </c>
      <c r="O57" s="56">
        <v>-0.17139481037921456</v>
      </c>
      <c r="P57" s="56">
        <v>-1.3464671466178912E-2</v>
      </c>
    </row>
    <row r="58" spans="3:16" x14ac:dyDescent="0.25">
      <c r="D58" t="s">
        <v>205</v>
      </c>
      <c r="F58" s="15" t="s">
        <v>95</v>
      </c>
      <c r="I58" s="56">
        <v>0.12017307692307695</v>
      </c>
      <c r="J58" s="56">
        <v>7.6307791787908266E-2</v>
      </c>
      <c r="K58" s="56">
        <v>0.15763157894736848</v>
      </c>
      <c r="L58" s="56">
        <v>0.25219227234793101</v>
      </c>
      <c r="M58" s="56">
        <v>0.26915476643453701</v>
      </c>
      <c r="N58" s="56">
        <v>0.24043955247811485</v>
      </c>
      <c r="O58" s="56">
        <v>0.19684978082872037</v>
      </c>
      <c r="P58" s="56">
        <v>0.18368443500528064</v>
      </c>
    </row>
    <row r="59" spans="3:16" x14ac:dyDescent="0.25">
      <c r="C59" s="52" t="s">
        <v>203</v>
      </c>
    </row>
    <row r="60" spans="3:16" x14ac:dyDescent="0.25">
      <c r="D60" t="s">
        <v>204</v>
      </c>
      <c r="F60" s="15" t="s">
        <v>21</v>
      </c>
      <c r="I60" s="56">
        <v>0.59440456892827742</v>
      </c>
      <c r="J60" s="56">
        <v>0.29074071747250546</v>
      </c>
      <c r="K60" s="56">
        <v>0.36368732806691695</v>
      </c>
      <c r="L60" s="56">
        <v>0.38796773338046003</v>
      </c>
      <c r="M60" s="56">
        <v>0.29859830191844383</v>
      </c>
      <c r="N60" s="56">
        <v>0.23898390114004778</v>
      </c>
      <c r="O60" s="56">
        <v>0.17363720315107128</v>
      </c>
      <c r="P60" s="56">
        <v>0.14432633634785882</v>
      </c>
    </row>
    <row r="61" spans="3:16" x14ac:dyDescent="0.25">
      <c r="D61" t="s">
        <v>205</v>
      </c>
      <c r="F61" s="15" t="s">
        <v>21</v>
      </c>
      <c r="I61" s="56">
        <v>0.12017307692307695</v>
      </c>
      <c r="J61" s="56">
        <v>7.6307791787908266E-2</v>
      </c>
      <c r="K61" s="56">
        <v>0.15763157894736848</v>
      </c>
      <c r="L61" s="56">
        <v>0.25219227234793101</v>
      </c>
      <c r="M61" s="56">
        <v>0.26915476643453701</v>
      </c>
      <c r="N61" s="56">
        <v>0.24043955247811485</v>
      </c>
      <c r="O61" s="56">
        <v>0.19684978082872037</v>
      </c>
      <c r="P61" s="56">
        <v>0.18368443500528064</v>
      </c>
    </row>
    <row r="62" spans="3:16" x14ac:dyDescent="0.25">
      <c r="D62" t="s">
        <v>206</v>
      </c>
      <c r="F62" s="15" t="s">
        <v>208</v>
      </c>
      <c r="I62" s="77">
        <v>2.2527035149756043</v>
      </c>
      <c r="J62" s="77">
        <v>1.8727310618936102</v>
      </c>
      <c r="K62" s="77">
        <v>1.4898232053126195</v>
      </c>
      <c r="L62" s="77">
        <v>1.2459237397033378</v>
      </c>
      <c r="M62" s="77">
        <v>0.81748178002553418</v>
      </c>
      <c r="N62" s="77">
        <v>0.72982471982528352</v>
      </c>
      <c r="O62" s="77">
        <v>0.48514245133955136</v>
      </c>
      <c r="P62" s="77">
        <v>0.53812199304188313</v>
      </c>
    </row>
    <row r="63" spans="3:16" x14ac:dyDescent="0.25">
      <c r="D63" t="s">
        <v>207</v>
      </c>
      <c r="F63" s="15" t="s">
        <v>208</v>
      </c>
      <c r="I63" s="77">
        <v>2.1956894809225118</v>
      </c>
      <c r="J63" s="77">
        <v>2.0345180999092665</v>
      </c>
      <c r="K63" s="77">
        <v>1.5486390601317925</v>
      </c>
      <c r="L63" s="77">
        <v>1.2347310564139968</v>
      </c>
      <c r="M63" s="77">
        <v>1.3570853949689785</v>
      </c>
      <c r="N63" s="77">
        <v>1.3618966952384093</v>
      </c>
      <c r="O63" s="77">
        <v>1.8181870826397732</v>
      </c>
      <c r="P63" s="77">
        <v>1.4601332427852025</v>
      </c>
    </row>
    <row r="65" spans="1:16" x14ac:dyDescent="0.25">
      <c r="A65" s="89" t="s">
        <v>209</v>
      </c>
    </row>
    <row r="66" spans="1:16" ht="16.149999999999999" thickBot="1" x14ac:dyDescent="0.35">
      <c r="B66" s="48" t="str">
        <f>"Analysis based on: "&amp;CHOOSE(Scenario!$E$9,Scenario!D10,Scenario!D11,Scenario!D12)</f>
        <v>Analysis based on: Base Case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8" spans="1:16" x14ac:dyDescent="0.25">
      <c r="C68" s="52" t="s">
        <v>11</v>
      </c>
    </row>
    <row r="69" spans="1:16" x14ac:dyDescent="0.25">
      <c r="D69" t="s">
        <v>149</v>
      </c>
      <c r="F69" s="102" t="s">
        <v>20</v>
      </c>
      <c r="I69">
        <f>Model!I12</f>
        <v>520</v>
      </c>
      <c r="J69">
        <f>Model!J12</f>
        <v>515.5</v>
      </c>
      <c r="K69">
        <f>Model!K12</f>
        <v>532</v>
      </c>
      <c r="L69">
        <f>Model!L12</f>
        <v>559.49112500000001</v>
      </c>
      <c r="M69">
        <f>Model!M12</f>
        <v>652.44488516624995</v>
      </c>
      <c r="N69">
        <f>Model!N12</f>
        <v>678.17707496446656</v>
      </c>
      <c r="O69">
        <f>Model!O12</f>
        <v>682.19360963006238</v>
      </c>
      <c r="P69">
        <f>Model!P12</f>
        <v>734.28791854435747</v>
      </c>
    </row>
    <row r="70" spans="1:16" x14ac:dyDescent="0.25">
      <c r="D70" t="s">
        <v>211</v>
      </c>
      <c r="F70" s="15" t="s">
        <v>21</v>
      </c>
      <c r="J70" s="56">
        <f>J69/I69-1</f>
        <v>-8.6538461538461231E-3</v>
      </c>
      <c r="K70" s="56">
        <f t="shared" ref="K70:P70" si="1">K69/J69-1</f>
        <v>3.2007759456837981E-2</v>
      </c>
      <c r="L70" s="56">
        <f t="shared" si="1"/>
        <v>5.1675046992481155E-2</v>
      </c>
      <c r="M70" s="56">
        <f t="shared" si="1"/>
        <v>0.16613982959291795</v>
      </c>
      <c r="N70" s="56">
        <f t="shared" si="1"/>
        <v>3.9439637559055774E-2</v>
      </c>
      <c r="O70" s="56">
        <f t="shared" si="1"/>
        <v>5.9225456210036942E-3</v>
      </c>
      <c r="P70" s="56">
        <f t="shared" si="1"/>
        <v>7.6362938876757491E-2</v>
      </c>
    </row>
    <row r="71" spans="1:16" x14ac:dyDescent="0.25">
      <c r="C71" s="52" t="s">
        <v>210</v>
      </c>
    </row>
    <row r="72" spans="1:16" x14ac:dyDescent="0.25">
      <c r="D72" t="s">
        <v>210</v>
      </c>
      <c r="F72" s="102" t="s">
        <v>20</v>
      </c>
      <c r="I72">
        <f>Model!I19</f>
        <v>244.99</v>
      </c>
      <c r="J72">
        <f>Model!J19</f>
        <v>217.86</v>
      </c>
      <c r="K72">
        <f>Model!K19</f>
        <v>250.54000000000002</v>
      </c>
      <c r="L72">
        <f>Model!L19</f>
        <v>228.52209166666671</v>
      </c>
      <c r="M72">
        <f>Model!M19</f>
        <v>309.89193566624999</v>
      </c>
      <c r="N72">
        <f>Model!N19</f>
        <v>325.34753697946655</v>
      </c>
      <c r="O72">
        <f>Model!O19</f>
        <v>318.07352642954237</v>
      </c>
      <c r="P72">
        <f>Model!P19</f>
        <v>357.42363243181933</v>
      </c>
    </row>
    <row r="73" spans="1:16" x14ac:dyDescent="0.25">
      <c r="D73" t="s">
        <v>211</v>
      </c>
      <c r="F73" s="15" t="s">
        <v>21</v>
      </c>
      <c r="J73" s="56">
        <f>J72/I72-1</f>
        <v>-0.11073921384546304</v>
      </c>
      <c r="K73" s="56">
        <f t="shared" ref="K73:P73" si="2">K72/J72-1</f>
        <v>0.15000459010373635</v>
      </c>
      <c r="L73" s="56">
        <f t="shared" si="2"/>
        <v>-8.7881808626699587E-2</v>
      </c>
      <c r="M73" s="56">
        <f t="shared" si="2"/>
        <v>0.35606992482054323</v>
      </c>
      <c r="N73" s="56">
        <f t="shared" si="2"/>
        <v>4.9874164295330647E-2</v>
      </c>
      <c r="O73" s="56">
        <f t="shared" si="2"/>
        <v>-2.2357662877845241E-2</v>
      </c>
      <c r="P73" s="56">
        <f t="shared" si="2"/>
        <v>0.12371386718030908</v>
      </c>
    </row>
    <row r="74" spans="1:16" x14ac:dyDescent="0.25">
      <c r="D74" t="s">
        <v>202</v>
      </c>
      <c r="F74" s="15" t="s">
        <v>21</v>
      </c>
      <c r="I74" s="56">
        <f>I72/I69</f>
        <v>0.47113461538461543</v>
      </c>
      <c r="J74" s="56">
        <f t="shared" ref="J74:P74" si="3">J72/J69</f>
        <v>0.42261881668283224</v>
      </c>
      <c r="K74" s="56">
        <f t="shared" si="3"/>
        <v>0.47093984962406021</v>
      </c>
      <c r="L74" s="56">
        <f t="shared" si="3"/>
        <v>0.40844632105052014</v>
      </c>
      <c r="M74" s="56">
        <f t="shared" si="3"/>
        <v>0.47497028900347071</v>
      </c>
      <c r="N74" s="56">
        <f t="shared" si="3"/>
        <v>0.47973832939798694</v>
      </c>
      <c r="O74" s="56">
        <f t="shared" si="3"/>
        <v>0.46625110810115356</v>
      </c>
      <c r="P74" s="56">
        <f t="shared" si="3"/>
        <v>0.4867622405396117</v>
      </c>
    </row>
    <row r="75" spans="1:16" x14ac:dyDescent="0.25">
      <c r="C75" s="52" t="s">
        <v>181</v>
      </c>
    </row>
    <row r="76" spans="1:16" x14ac:dyDescent="0.25">
      <c r="D76" t="s">
        <v>181</v>
      </c>
      <c r="F76" s="102" t="s">
        <v>20</v>
      </c>
      <c r="I76">
        <f>Model!I32</f>
        <v>62.490000000000016</v>
      </c>
      <c r="J76">
        <f>Model!J32</f>
        <v>39.336666666666709</v>
      </c>
      <c r="K76">
        <f>Model!K32</f>
        <v>83.860000000000028</v>
      </c>
      <c r="L76">
        <f ca="1">Model!L32</f>
        <v>142.08742474307292</v>
      </c>
      <c r="M76">
        <f ca="1">Model!M32</f>
        <v>181.2477640090504</v>
      </c>
      <c r="N76">
        <f ca="1">Model!N32</f>
        <v>174.59242523951497</v>
      </c>
      <c r="O76">
        <f ca="1">Model!O32</f>
        <v>148.71173313800909</v>
      </c>
      <c r="P76">
        <f ca="1">Model!P32</f>
        <v>160.22652338721855</v>
      </c>
    </row>
    <row r="77" spans="1:16" x14ac:dyDescent="0.25">
      <c r="D77" t="s">
        <v>211</v>
      </c>
      <c r="F77" s="15" t="s">
        <v>95</v>
      </c>
      <c r="J77" s="56">
        <f>J76/I76-1</f>
        <v>-0.37051261535178914</v>
      </c>
      <c r="K77" s="56">
        <f t="shared" ref="K77:P77" si="4">K76/J76-1</f>
        <v>1.1318532327768818</v>
      </c>
      <c r="L77" s="56">
        <f t="shared" ca="1" si="4"/>
        <v>0.69434086266483264</v>
      </c>
      <c r="M77" s="56">
        <f t="shared" ca="1" si="4"/>
        <v>0.27560735467469044</v>
      </c>
      <c r="N77" s="56">
        <f t="shared" ca="1" si="4"/>
        <v>-3.6719563443569414E-2</v>
      </c>
      <c r="O77" s="56">
        <f t="shared" ca="1" si="4"/>
        <v>-0.14823490804942652</v>
      </c>
      <c r="P77" s="56">
        <f t="shared" ca="1" si="4"/>
        <v>7.7430274035763968E-2</v>
      </c>
    </row>
    <row r="78" spans="1:16" x14ac:dyDescent="0.25">
      <c r="D78" t="s">
        <v>205</v>
      </c>
      <c r="F78" s="15" t="s">
        <v>95</v>
      </c>
      <c r="I78" s="56">
        <f>I76/I69</f>
        <v>0.12017307692307695</v>
      </c>
      <c r="J78" s="56">
        <f t="shared" ref="J78:P78" si="5">J76/J69</f>
        <v>7.6307791787908266E-2</v>
      </c>
      <c r="K78" s="56">
        <f t="shared" si="5"/>
        <v>0.15763157894736848</v>
      </c>
      <c r="L78" s="56">
        <f t="shared" ca="1" si="5"/>
        <v>0.25395831746763259</v>
      </c>
      <c r="M78" s="56">
        <f t="shared" ca="1" si="5"/>
        <v>0.27779781576932205</v>
      </c>
      <c r="N78" s="56">
        <f t="shared" ca="1" si="5"/>
        <v>0.25744371445859154</v>
      </c>
      <c r="O78" s="56">
        <f t="shared" ca="1" si="5"/>
        <v>0.217990510375276</v>
      </c>
      <c r="P78" s="56">
        <f t="shared" ca="1" si="5"/>
        <v>0.21820667253364248</v>
      </c>
    </row>
    <row r="79" spans="1:16" x14ac:dyDescent="0.25">
      <c r="C79" s="52" t="s">
        <v>203</v>
      </c>
    </row>
    <row r="80" spans="1:16" x14ac:dyDescent="0.25">
      <c r="D80" t="str">
        <f>Model!D39</f>
        <v>ROE</v>
      </c>
      <c r="F80" s="15" t="str">
        <f>Model!F39</f>
        <v>[%]</v>
      </c>
      <c r="I80" s="56">
        <f>Model!I39</f>
        <v>0.59440456892827742</v>
      </c>
      <c r="J80" s="56">
        <f>Model!J39</f>
        <v>0.29074071747250546</v>
      </c>
      <c r="K80" s="56">
        <f>Model!K39</f>
        <v>0.36368732806691695</v>
      </c>
      <c r="L80" s="56">
        <f ca="1">Model!L39</f>
        <v>0.39241265801955638</v>
      </c>
      <c r="M80" s="56">
        <f ca="1">Model!M39</f>
        <v>0.30844523523993939</v>
      </c>
      <c r="N80" s="56">
        <f ca="1">Model!N39</f>
        <v>0.25371038735620771</v>
      </c>
      <c r="O80" s="56">
        <f ca="1">Model!O39</f>
        <v>0.18722718379742484</v>
      </c>
      <c r="P80" s="56">
        <f ca="1">Model!P39</f>
        <v>0.16706802827429551</v>
      </c>
    </row>
    <row r="81" spans="4:16" x14ac:dyDescent="0.25">
      <c r="D81" t="str">
        <f>Model!D40</f>
        <v>Net Profit margin</v>
      </c>
      <c r="F81" s="15" t="str">
        <f>Model!F40</f>
        <v>[%]</v>
      </c>
      <c r="I81" s="56">
        <f>Model!I40</f>
        <v>0.12017307692307695</v>
      </c>
      <c r="J81" s="56">
        <f>Model!J40</f>
        <v>7.6307791787908266E-2</v>
      </c>
      <c r="K81" s="56">
        <f>Model!K40</f>
        <v>0.15763157894736848</v>
      </c>
      <c r="L81" s="56">
        <f ca="1">Model!L40</f>
        <v>0.25395831746763259</v>
      </c>
      <c r="M81" s="56">
        <f ca="1">Model!M40</f>
        <v>0.27779781576932205</v>
      </c>
      <c r="N81" s="56">
        <f ca="1">Model!N40</f>
        <v>0.25744371445859154</v>
      </c>
      <c r="O81" s="56">
        <f ca="1">Model!O40</f>
        <v>0.217990510375276</v>
      </c>
      <c r="P81" s="56">
        <f ca="1">Model!P40</f>
        <v>0.21820667253364248</v>
      </c>
    </row>
    <row r="82" spans="4:16" x14ac:dyDescent="0.25">
      <c r="D82" t="str">
        <f>Model!D41</f>
        <v>Asset turnover</v>
      </c>
      <c r="F82" s="15" t="str">
        <f>Model!F41</f>
        <v>multiples</v>
      </c>
      <c r="I82" s="77">
        <f>Model!I41</f>
        <v>2.2527035149756043</v>
      </c>
      <c r="J82" s="77">
        <f>Model!J41</f>
        <v>1.8727310618936102</v>
      </c>
      <c r="K82" s="77">
        <f>Model!K41</f>
        <v>1.4898232053126195</v>
      </c>
      <c r="L82" s="77">
        <f ca="1">Model!L41</f>
        <v>1.1837084604655732</v>
      </c>
      <c r="M82" s="77">
        <f ca="1">Model!M41</f>
        <v>0.82151119535955364</v>
      </c>
      <c r="N82" s="77">
        <f ca="1">Model!N41</f>
        <v>0.74364546142936339</v>
      </c>
      <c r="O82" s="77">
        <f ca="1">Model!O41</f>
        <v>0.49172519921110852</v>
      </c>
      <c r="P82" s="77">
        <f ca="1">Model!P41</f>
        <v>0.5550311593206847</v>
      </c>
    </row>
    <row r="83" spans="4:16" x14ac:dyDescent="0.25">
      <c r="D83" t="str">
        <f>Model!D42</f>
        <v>Financial Leverage</v>
      </c>
      <c r="F83" s="15" t="str">
        <f>Model!F42</f>
        <v>multiples</v>
      </c>
      <c r="I83" s="77">
        <f>Model!I42</f>
        <v>2.1956894809225118</v>
      </c>
      <c r="J83" s="77">
        <f>Model!J42</f>
        <v>2.0345180999092665</v>
      </c>
      <c r="K83" s="77">
        <f>Model!K42</f>
        <v>1.5486390601317925</v>
      </c>
      <c r="L83" s="77">
        <f ca="1">Model!L42</f>
        <v>1.3053765753050928</v>
      </c>
      <c r="M83" s="77">
        <f ca="1">Model!M42</f>
        <v>1.3515613153407386</v>
      </c>
      <c r="N83" s="77">
        <f ca="1">Model!N42</f>
        <v>1.3252262316180006</v>
      </c>
      <c r="O83" s="77">
        <f ca="1">Model!O42</f>
        <v>1.7466619187014778</v>
      </c>
      <c r="P83" s="77">
        <f ca="1">Model!P42</f>
        <v>1.3794563268159785</v>
      </c>
    </row>
  </sheetData>
  <mergeCells count="2">
    <mergeCell ref="I3:J3"/>
    <mergeCell ref="K3:L3"/>
  </mergeCells>
  <pageMargins left="0.7" right="0.7" top="0.75" bottom="0.75" header="0.3" footer="0.3"/>
  <pageSetup fitToHeight="0" orientation="landscape" r:id="rId1"/>
  <headerFooter>
    <oddFooter>&amp;LPrinted on: &amp;D at &amp;T&amp;C&amp;A&amp;R&amp;P of &amp;N</oddFooter>
  </headerFooter>
  <rowBreaks count="1" manualBreakCount="1">
    <brk id="45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14</xdr:col>
                    <xdr:colOff>760781</xdr:colOff>
                    <xdr:row>64</xdr:row>
                    <xdr:rowOff>109728</xdr:rowOff>
                  </from>
                  <to>
                    <xdr:col>15</xdr:col>
                    <xdr:colOff>811987</xdr:colOff>
                    <xdr:row>65</xdr:row>
                    <xdr:rowOff>190195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10B218F-AA6D-487C-844D-2992DD6D90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Summary!I69:P69</xm:f>
              <xm:sqref>G69</xm:sqref>
            </x14:sparkline>
            <x14:sparkline>
              <xm:f>Summary!I70:P70</xm:f>
              <xm:sqref>G70</xm:sqref>
            </x14:sparkline>
            <x14:sparkline>
              <xm:f>Summary!I71:P71</xm:f>
              <xm:sqref>G71</xm:sqref>
            </x14:sparkline>
            <x14:sparkline>
              <xm:f>Summary!I72:P72</xm:f>
              <xm:sqref>G72</xm:sqref>
            </x14:sparkline>
            <x14:sparkline>
              <xm:f>Summary!I73:P73</xm:f>
              <xm:sqref>G73</xm:sqref>
            </x14:sparkline>
            <x14:sparkline>
              <xm:f>Summary!I74:P74</xm:f>
              <xm:sqref>G74</xm:sqref>
            </x14:sparkline>
            <x14:sparkline>
              <xm:f>Summary!I75:P75</xm:f>
              <xm:sqref>G75</xm:sqref>
            </x14:sparkline>
            <x14:sparkline>
              <xm:f>Summary!I76:P76</xm:f>
              <xm:sqref>G76</xm:sqref>
            </x14:sparkline>
            <x14:sparkline>
              <xm:f>Summary!I77:P77</xm:f>
              <xm:sqref>G77</xm:sqref>
            </x14:sparkline>
            <x14:sparkline>
              <xm:f>Summary!I78:P78</xm:f>
              <xm:sqref>G78</xm:sqref>
            </x14:sparkline>
            <x14:sparkline>
              <xm:f>Summary!I79:P79</xm:f>
              <xm:sqref>G79</xm:sqref>
            </x14:sparkline>
            <x14:sparkline>
              <xm:f>Summary!I80:P80</xm:f>
              <xm:sqref>G80</xm:sqref>
            </x14:sparkline>
            <x14:sparkline>
              <xm:f>Summary!I81:P81</xm:f>
              <xm:sqref>G81</xm:sqref>
            </x14:sparkline>
            <x14:sparkline>
              <xm:f>Summary!I82:P82</xm:f>
              <xm:sqref>G82</xm:sqref>
            </x14:sparkline>
            <x14:sparkline>
              <xm:f>Summary!I83:P83</xm:f>
              <xm:sqref>G83</xm:sqref>
            </x14:sparkline>
          </x14:sparklines>
        </x14:sparklineGroup>
        <x14:sparklineGroup displayEmptyCellsAs="gap" xr2:uid="{A9CBDB2B-97BE-4E25-9819-5A66E4D733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Summary!I11:P11</xm:f>
              <xm:sqref>G11</xm:sqref>
            </x14:sparkline>
            <x14:sparkline>
              <xm:f>Summary!I12:P12</xm:f>
              <xm:sqref>G12</xm:sqref>
            </x14:sparkline>
            <x14:sparkline>
              <xm:f>Summary!I13:P13</xm:f>
              <xm:sqref>G13</xm:sqref>
            </x14:sparkline>
            <x14:sparkline>
              <xm:f>Summary!I14:P14</xm:f>
              <xm:sqref>G14</xm:sqref>
            </x14:sparkline>
            <x14:sparkline>
              <xm:f>Summary!I15:P15</xm:f>
              <xm:sqref>G15</xm:sqref>
            </x14:sparkline>
            <x14:sparkline>
              <xm:f>Summary!I16:P16</xm:f>
              <xm:sqref>G16</xm:sqref>
            </x14:sparkline>
            <x14:sparkline>
              <xm:f>Summary!I17:P17</xm:f>
              <xm:sqref>G17</xm:sqref>
            </x14:sparkline>
            <x14:sparkline>
              <xm:f>Summary!I18:P18</xm:f>
              <xm:sqref>G18</xm:sqref>
            </x14:sparkline>
            <x14:sparkline>
              <xm:f>Summary!I19:P19</xm:f>
              <xm:sqref>G19</xm:sqref>
            </x14:sparkline>
            <x14:sparkline>
              <xm:f>Summary!I20:P20</xm:f>
              <xm:sqref>G20</xm:sqref>
            </x14:sparkline>
            <x14:sparkline>
              <xm:f>Summary!I21:P21</xm:f>
              <xm:sqref>G21</xm:sqref>
            </x14:sparkline>
            <x14:sparkline>
              <xm:f>Summary!I22:P22</xm:f>
              <xm:sqref>G22</xm:sqref>
            </x14:sparkline>
            <x14:sparkline>
              <xm:f>Summary!I23:P23</xm:f>
              <xm:sqref>G23</xm:sqref>
            </x14:sparkline>
            <x14:sparkline>
              <xm:f>Summary!I24:P24</xm:f>
              <xm:sqref>G24</xm:sqref>
            </x14:sparkline>
            <x14:sparkline>
              <xm:f>Summary!I25:P25</xm:f>
              <xm:sqref>G25</xm:sqref>
            </x14:sparkline>
          </x14:sparklines>
        </x14:sparklineGroup>
        <x14:sparklineGroup displayEmptyCellsAs="gap" xr2:uid="{DBA7211E-6099-43D9-B9C7-270D3626A3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Summary!I30:P30</xm:f>
              <xm:sqref>G30</xm:sqref>
            </x14:sparkline>
            <x14:sparkline>
              <xm:f>Summary!I31:P31</xm:f>
              <xm:sqref>G31</xm:sqref>
            </x14:sparkline>
            <x14:sparkline>
              <xm:f>Summary!I32:P32</xm:f>
              <xm:sqref>G32</xm:sqref>
            </x14:sparkline>
            <x14:sparkline>
              <xm:f>Summary!I33:P33</xm:f>
              <xm:sqref>G33</xm:sqref>
            </x14:sparkline>
            <x14:sparkline>
              <xm:f>Summary!I34:P34</xm:f>
              <xm:sqref>G34</xm:sqref>
            </x14:sparkline>
            <x14:sparkline>
              <xm:f>Summary!I35:P35</xm:f>
              <xm:sqref>G35</xm:sqref>
            </x14:sparkline>
            <x14:sparkline>
              <xm:f>Summary!I36:P36</xm:f>
              <xm:sqref>G36</xm:sqref>
            </x14:sparkline>
            <x14:sparkline>
              <xm:f>Summary!I37:P37</xm:f>
              <xm:sqref>G37</xm:sqref>
            </x14:sparkline>
            <x14:sparkline>
              <xm:f>Summary!I38:P38</xm:f>
              <xm:sqref>G38</xm:sqref>
            </x14:sparkline>
            <x14:sparkline>
              <xm:f>Summary!I39:P39</xm:f>
              <xm:sqref>G39</xm:sqref>
            </x14:sparkline>
            <x14:sparkline>
              <xm:f>Summary!I40:P40</xm:f>
              <xm:sqref>G40</xm:sqref>
            </x14:sparkline>
            <x14:sparkline>
              <xm:f>Summary!I41:P41</xm:f>
              <xm:sqref>G41</xm:sqref>
            </x14:sparkline>
            <x14:sparkline>
              <xm:f>Summary!I42:P42</xm:f>
              <xm:sqref>G42</xm:sqref>
            </x14:sparkline>
            <x14:sparkline>
              <xm:f>Summary!I43:P43</xm:f>
              <xm:sqref>G43</xm:sqref>
            </x14:sparkline>
            <x14:sparkline>
              <xm:f>Summary!I44:P44</xm:f>
              <xm:sqref>G44</xm:sqref>
            </x14:sparkline>
          </x14:sparklines>
        </x14:sparklineGroup>
        <x14:sparklineGroup displayEmptyCellsAs="gap" xr2:uid="{33B5C8AC-C85E-47F7-9CF2-9DFDA08927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Summary!I49:P49</xm:f>
              <xm:sqref>G49</xm:sqref>
            </x14:sparkline>
            <x14:sparkline>
              <xm:f>Summary!I50:P50</xm:f>
              <xm:sqref>G50</xm:sqref>
            </x14:sparkline>
            <x14:sparkline>
              <xm:f>Summary!I51:P51</xm:f>
              <xm:sqref>G51</xm:sqref>
            </x14:sparkline>
            <x14:sparkline>
              <xm:f>Summary!I52:P52</xm:f>
              <xm:sqref>G52</xm:sqref>
            </x14:sparkline>
            <x14:sparkline>
              <xm:f>Summary!I53:P53</xm:f>
              <xm:sqref>G53</xm:sqref>
            </x14:sparkline>
            <x14:sparkline>
              <xm:f>Summary!I54:P54</xm:f>
              <xm:sqref>G54</xm:sqref>
            </x14:sparkline>
            <x14:sparkline>
              <xm:f>Summary!I55:P55</xm:f>
              <xm:sqref>G55</xm:sqref>
            </x14:sparkline>
            <x14:sparkline>
              <xm:f>Summary!I56:P56</xm:f>
              <xm:sqref>G56</xm:sqref>
            </x14:sparkline>
            <x14:sparkline>
              <xm:f>Summary!I57:P57</xm:f>
              <xm:sqref>G57</xm:sqref>
            </x14:sparkline>
            <x14:sparkline>
              <xm:f>Summary!I58:P58</xm:f>
              <xm:sqref>G58</xm:sqref>
            </x14:sparkline>
            <x14:sparkline>
              <xm:f>Summary!I59:P59</xm:f>
              <xm:sqref>G59</xm:sqref>
            </x14:sparkline>
            <x14:sparkline>
              <xm:f>Summary!I60:P60</xm:f>
              <xm:sqref>G60</xm:sqref>
            </x14:sparkline>
            <x14:sparkline>
              <xm:f>Summary!I61:P61</xm:f>
              <xm:sqref>G61</xm:sqref>
            </x14:sparkline>
            <x14:sparkline>
              <xm:f>Summary!I62:P62</xm:f>
              <xm:sqref>G62</xm:sqref>
            </x14:sparkline>
            <x14:sparkline>
              <xm:f>Summary!I63:P63</xm:f>
              <xm:sqref>G63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5D87-DEE4-460D-BE12-638E051AA81F}">
  <sheetPr>
    <outlinePr summaryBelow="0" summaryRight="0"/>
    <pageSetUpPr autoPageBreaks="0" fitToPage="1"/>
  </sheetPr>
  <dimension ref="A1:P144"/>
  <sheetViews>
    <sheetView showGridLines="0" zoomScale="85" zoomScaleNormal="85" workbookViewId="0">
      <pane ySplit="6" topLeftCell="A7" activePane="bottomLeft" state="frozen"/>
      <selection activeCell="E11" sqref="E11"/>
      <selection pane="bottomLeft" activeCell="A7" sqref="A7"/>
    </sheetView>
  </sheetViews>
  <sheetFormatPr defaultRowHeight="13.85" x14ac:dyDescent="0.25"/>
  <cols>
    <col min="1" max="3" width="1.36328125" customWidth="1"/>
    <col min="4" max="4" width="39.453125" bestFit="1" customWidth="1"/>
    <col min="5" max="5" width="1.81640625" customWidth="1"/>
    <col min="6" max="6" width="6.26953125" customWidth="1"/>
    <col min="7" max="7" width="10.36328125" bestFit="1" customWidth="1"/>
    <col min="8" max="8" width="2.08984375" customWidth="1"/>
    <col min="9" max="10" width="11" customWidth="1"/>
    <col min="11" max="11" width="6.453125" bestFit="1" customWidth="1"/>
    <col min="12" max="16" width="12.08984375" bestFit="1" customWidth="1"/>
  </cols>
  <sheetData>
    <row r="1" spans="1:16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7.850000000000001" x14ac:dyDescent="0.35">
      <c r="A2" s="40"/>
      <c r="B2" s="41" t="str">
        <f>Cover!$C$7</f>
        <v>Nudu Noodles</v>
      </c>
      <c r="C2" s="40"/>
      <c r="D2" s="40"/>
      <c r="E2" s="40"/>
      <c r="F2" s="40"/>
      <c r="G2" s="40"/>
      <c r="H2" s="40"/>
      <c r="I2" s="44" t="str">
        <f>"Financial Forecast "&amp;$L$6&amp;" to "&amp;$P$6</f>
        <v>Financial Forecast 2022 to 2026</v>
      </c>
      <c r="J2" s="44"/>
      <c r="K2" s="44"/>
      <c r="L2" s="44"/>
      <c r="M2" s="40"/>
      <c r="N2" s="40"/>
      <c r="O2" s="40"/>
      <c r="P2" s="40"/>
    </row>
    <row r="3" spans="1:16" x14ac:dyDescent="0.25">
      <c r="A3" s="40"/>
      <c r="B3" s="42" t="s">
        <v>225</v>
      </c>
      <c r="C3" s="40"/>
      <c r="D3" s="40"/>
      <c r="E3" s="40"/>
      <c r="F3" s="40"/>
      <c r="G3" s="40"/>
      <c r="H3" s="40"/>
      <c r="I3" s="126" t="str">
        <f ca="1">"BS Check: "&amp;IF(Model!F115=0,"OK","ERROR")</f>
        <v>BS Check: OK</v>
      </c>
      <c r="J3" s="127"/>
      <c r="K3" s="126" t="str">
        <f>Scenarioused</f>
        <v>Scenario: Base Case</v>
      </c>
      <c r="L3" s="127"/>
      <c r="M3" s="40"/>
      <c r="N3" s="40"/>
      <c r="O3" s="40"/>
      <c r="P3" s="40"/>
    </row>
    <row r="5" spans="1:16" x14ac:dyDescent="0.25">
      <c r="F5" s="92"/>
      <c r="G5" s="92"/>
      <c r="H5" s="92"/>
      <c r="I5" s="93" t="s">
        <v>75</v>
      </c>
      <c r="J5" s="93" t="s">
        <v>75</v>
      </c>
      <c r="K5" s="93" t="s">
        <v>75</v>
      </c>
      <c r="L5" s="93" t="s">
        <v>76</v>
      </c>
      <c r="M5" s="93" t="s">
        <v>76</v>
      </c>
      <c r="N5" s="93" t="s">
        <v>76</v>
      </c>
      <c r="O5" s="93" t="s">
        <v>76</v>
      </c>
      <c r="P5" s="93" t="s">
        <v>76</v>
      </c>
    </row>
    <row r="6" spans="1:16" x14ac:dyDescent="0.25">
      <c r="B6" s="39"/>
      <c r="C6" s="39"/>
      <c r="D6" s="39"/>
      <c r="E6" s="39"/>
      <c r="F6" s="94" t="s">
        <v>85</v>
      </c>
      <c r="G6" s="94" t="s">
        <v>81</v>
      </c>
      <c r="H6" s="94"/>
      <c r="I6" s="95">
        <f>J6-1</f>
        <v>2019</v>
      </c>
      <c r="J6" s="95">
        <f>K6-1</f>
        <v>2020</v>
      </c>
      <c r="K6" s="95">
        <f>Cover!$D$12</f>
        <v>2021</v>
      </c>
      <c r="L6" s="96">
        <f>K6+1</f>
        <v>2022</v>
      </c>
      <c r="M6" s="96">
        <f t="shared" ref="M6:P6" si="0">L6+1</f>
        <v>2023</v>
      </c>
      <c r="N6" s="96">
        <f t="shared" si="0"/>
        <v>2024</v>
      </c>
      <c r="O6" s="96">
        <f t="shared" si="0"/>
        <v>2025</v>
      </c>
      <c r="P6" s="96">
        <f t="shared" si="0"/>
        <v>2026</v>
      </c>
    </row>
    <row r="8" spans="1:16" ht="16.149999999999999" thickBot="1" x14ac:dyDescent="0.35">
      <c r="B8" s="48" t="s">
        <v>77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</row>
    <row r="10" spans="1:16" x14ac:dyDescent="0.25">
      <c r="D10" t="s">
        <v>78</v>
      </c>
      <c r="I10">
        <f>DATE(I6,12,31)-DATE(I6,1,1)+1</f>
        <v>365</v>
      </c>
      <c r="J10">
        <f t="shared" ref="J10:P10" si="1">DATE(J6,12,31)-DATE(J6,1,1)+1</f>
        <v>366</v>
      </c>
      <c r="K10">
        <f t="shared" si="1"/>
        <v>365</v>
      </c>
      <c r="L10">
        <f t="shared" si="1"/>
        <v>365</v>
      </c>
      <c r="M10">
        <f t="shared" si="1"/>
        <v>365</v>
      </c>
      <c r="N10">
        <f t="shared" si="1"/>
        <v>366</v>
      </c>
      <c r="O10">
        <f t="shared" si="1"/>
        <v>365</v>
      </c>
      <c r="P10">
        <f t="shared" si="1"/>
        <v>365</v>
      </c>
    </row>
    <row r="12" spans="1:16" x14ac:dyDescent="0.25">
      <c r="C12" s="49" t="s">
        <v>79</v>
      </c>
    </row>
    <row r="13" spans="1:16" x14ac:dyDescent="0.25">
      <c r="D13" t="s">
        <v>80</v>
      </c>
      <c r="G13" s="97">
        <v>1234</v>
      </c>
    </row>
    <row r="14" spans="1:16" x14ac:dyDescent="0.25">
      <c r="G14" s="97"/>
    </row>
    <row r="15" spans="1:16" x14ac:dyDescent="0.25">
      <c r="D15" t="s">
        <v>87</v>
      </c>
      <c r="F15" s="15"/>
      <c r="G15" s="98">
        <v>1000000</v>
      </c>
    </row>
    <row r="16" spans="1:16" s="50" customFormat="1" x14ac:dyDescent="0.25">
      <c r="D16" s="50" t="s">
        <v>81</v>
      </c>
      <c r="G16" s="98">
        <v>12345</v>
      </c>
    </row>
    <row r="17" spans="2:16" x14ac:dyDescent="0.25">
      <c r="D17" t="s">
        <v>82</v>
      </c>
      <c r="G17" s="99">
        <v>5.5E-2</v>
      </c>
    </row>
    <row r="18" spans="2:16" x14ac:dyDescent="0.25">
      <c r="D18" t="s">
        <v>83</v>
      </c>
      <c r="G18" s="100">
        <v>12</v>
      </c>
    </row>
    <row r="19" spans="2:16" x14ac:dyDescent="0.25">
      <c r="D19" t="s">
        <v>84</v>
      </c>
      <c r="G19" s="101">
        <v>12345</v>
      </c>
    </row>
    <row r="20" spans="2:16" x14ac:dyDescent="0.25">
      <c r="D20" t="s">
        <v>85</v>
      </c>
      <c r="G20" s="102" t="s">
        <v>20</v>
      </c>
    </row>
    <row r="21" spans="2:16" ht="14.4" thickBot="1" x14ac:dyDescent="0.3">
      <c r="D21" t="s">
        <v>89</v>
      </c>
      <c r="G21" s="103" t="s">
        <v>88</v>
      </c>
    </row>
    <row r="22" spans="2:16" ht="15" thickTop="1" thickBot="1" x14ac:dyDescent="0.3">
      <c r="D22" t="s">
        <v>86</v>
      </c>
      <c r="G22" s="104" t="s">
        <v>88</v>
      </c>
    </row>
    <row r="25" spans="2:16" ht="16.149999999999999" thickBot="1" x14ac:dyDescent="0.35">
      <c r="B25" s="48" t="s">
        <v>90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</row>
    <row r="26" spans="2:16" ht="15.55" x14ac:dyDescent="0.3">
      <c r="B26" s="53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</row>
    <row r="27" spans="2:16" ht="15.55" x14ac:dyDescent="0.3">
      <c r="B27" s="53"/>
      <c r="C27" s="49" t="s">
        <v>240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</row>
    <row r="28" spans="2:16" ht="15.55" x14ac:dyDescent="0.3">
      <c r="B28" s="53"/>
      <c r="C28" s="49"/>
      <c r="D28" t="s">
        <v>148</v>
      </c>
      <c r="E28" s="54"/>
      <c r="F28" s="15" t="s">
        <v>215</v>
      </c>
      <c r="G28" s="54"/>
      <c r="H28" s="54"/>
      <c r="I28" s="54"/>
      <c r="J28" s="54"/>
      <c r="K28" s="54"/>
      <c r="L28" s="51">
        <v>35000000</v>
      </c>
      <c r="M28" s="51">
        <v>35000000</v>
      </c>
      <c r="N28" s="51">
        <v>35000000</v>
      </c>
      <c r="O28" s="51">
        <v>33000000</v>
      </c>
      <c r="P28" s="51">
        <v>35000000</v>
      </c>
    </row>
    <row r="29" spans="2:16" ht="15.55" x14ac:dyDescent="0.3">
      <c r="B29" s="53"/>
      <c r="C29" s="49"/>
      <c r="D29" t="s">
        <v>245</v>
      </c>
      <c r="E29" s="54"/>
      <c r="F29" s="15"/>
      <c r="G29" s="54"/>
      <c r="H29" s="54"/>
      <c r="I29" s="54"/>
      <c r="J29" s="54"/>
      <c r="K29" s="121">
        <v>15</v>
      </c>
    </row>
    <row r="30" spans="2:16" ht="15.55" x14ac:dyDescent="0.3">
      <c r="B30" s="53"/>
      <c r="C30" s="49"/>
      <c r="D30" t="s">
        <v>91</v>
      </c>
      <c r="E30" s="54"/>
      <c r="F30" s="15" t="s">
        <v>21</v>
      </c>
      <c r="G30" s="54"/>
      <c r="H30" s="54"/>
      <c r="I30" s="54"/>
      <c r="J30" s="54"/>
      <c r="K30" s="54"/>
      <c r="L30" s="62">
        <f>Scenario!L16</f>
        <v>2.5000000000000001E-2</v>
      </c>
      <c r="M30" s="62">
        <f>Scenario!M16</f>
        <v>2.1999999999999999E-2</v>
      </c>
      <c r="N30" s="62">
        <f>Scenario!N16</f>
        <v>0.02</v>
      </c>
      <c r="O30" s="62">
        <f>Scenario!O16</f>
        <v>1.2999999999999999E-2</v>
      </c>
      <c r="P30" s="62">
        <f>Scenario!P16</f>
        <v>2.5000000000000001E-2</v>
      </c>
    </row>
    <row r="31" spans="2:16" ht="15.55" x14ac:dyDescent="0.3">
      <c r="B31" s="53"/>
      <c r="C31" s="49"/>
      <c r="D31" t="s">
        <v>92</v>
      </c>
      <c r="E31" s="54"/>
      <c r="F31" s="15" t="s">
        <v>21</v>
      </c>
      <c r="G31" s="54"/>
      <c r="H31" s="54"/>
      <c r="I31" s="54"/>
      <c r="J31" s="54"/>
      <c r="K31" s="54"/>
      <c r="L31" s="58">
        <f>Scenario!L22</f>
        <v>0.03</v>
      </c>
      <c r="M31" s="58">
        <f>Scenario!M22</f>
        <v>3.5000000000000003E-2</v>
      </c>
      <c r="N31" s="58">
        <f>Scenario!N22</f>
        <v>0.02</v>
      </c>
      <c r="O31" s="58">
        <f>Scenario!O22</f>
        <v>2.5000000000000001E-2</v>
      </c>
      <c r="P31" s="58">
        <f>Scenario!P22</f>
        <v>0.03</v>
      </c>
    </row>
    <row r="32" spans="2:16" ht="15.55" x14ac:dyDescent="0.3">
      <c r="B32" s="53"/>
      <c r="C32" s="49"/>
      <c r="E32" s="54"/>
      <c r="F32" s="54"/>
      <c r="G32" s="54"/>
      <c r="H32" s="54"/>
      <c r="I32" s="54"/>
      <c r="J32" s="54"/>
      <c r="K32" s="54"/>
    </row>
    <row r="33" spans="2:16" ht="15.55" x14ac:dyDescent="0.3">
      <c r="B33" s="53"/>
      <c r="C33" s="49" t="s">
        <v>246</v>
      </c>
      <c r="E33" s="54"/>
      <c r="F33" s="54"/>
      <c r="G33" s="54"/>
      <c r="H33" s="54"/>
      <c r="I33" s="54"/>
      <c r="J33" s="54"/>
      <c r="K33" s="54"/>
    </row>
    <row r="34" spans="2:16" ht="15.55" x14ac:dyDescent="0.3">
      <c r="B34" s="53"/>
      <c r="C34" s="49"/>
      <c r="D34" t="str">
        <f>D28</f>
        <v>Production Capacity</v>
      </c>
      <c r="E34" s="54"/>
      <c r="F34" s="15" t="s">
        <v>215</v>
      </c>
      <c r="G34" s="54"/>
      <c r="H34" s="54"/>
      <c r="I34" s="54"/>
      <c r="J34" s="54"/>
      <c r="K34" s="54"/>
      <c r="L34" s="121"/>
      <c r="M34" s="121">
        <v>4600000</v>
      </c>
      <c r="N34" s="121">
        <v>4600000</v>
      </c>
      <c r="O34" s="121">
        <v>4000000</v>
      </c>
      <c r="P34" s="121">
        <v>3800000</v>
      </c>
    </row>
    <row r="35" spans="2:16" ht="15.55" x14ac:dyDescent="0.3">
      <c r="B35" s="53"/>
      <c r="C35" s="49"/>
      <c r="D35" t="s">
        <v>245</v>
      </c>
      <c r="E35" s="54"/>
      <c r="F35" s="15" t="s">
        <v>216</v>
      </c>
      <c r="G35" s="54"/>
      <c r="H35" s="54"/>
      <c r="I35" s="54"/>
      <c r="J35" s="54"/>
      <c r="K35" s="54"/>
      <c r="M35" s="121">
        <v>18</v>
      </c>
    </row>
    <row r="36" spans="2:16" ht="15.55" x14ac:dyDescent="0.3">
      <c r="B36" s="53"/>
      <c r="C36" s="49"/>
      <c r="D36" t="s">
        <v>91</v>
      </c>
      <c r="E36" s="54"/>
      <c r="F36" s="15" t="s">
        <v>21</v>
      </c>
      <c r="G36" s="54"/>
      <c r="H36" s="54"/>
      <c r="I36" s="54"/>
      <c r="J36" s="54"/>
      <c r="K36" s="54"/>
      <c r="N36" s="58">
        <f>Scenario!N29</f>
        <v>2.8000000000000001E-2</v>
      </c>
      <c r="O36" s="58">
        <f>Scenario!O29</f>
        <v>1.2999999999999999E-2</v>
      </c>
      <c r="P36" s="58">
        <f>Scenario!P29</f>
        <v>0.02</v>
      </c>
    </row>
    <row r="37" spans="2:16" ht="15.55" x14ac:dyDescent="0.3">
      <c r="B37" s="53"/>
      <c r="C37" s="49"/>
      <c r="D37" t="s">
        <v>154</v>
      </c>
      <c r="E37" s="54"/>
      <c r="F37" s="15" t="s">
        <v>215</v>
      </c>
      <c r="G37" s="54"/>
      <c r="H37" s="54"/>
      <c r="I37" s="54"/>
      <c r="J37" s="54"/>
      <c r="K37" s="54"/>
      <c r="M37" s="121">
        <v>3500000</v>
      </c>
    </row>
    <row r="38" spans="2:16" ht="15.55" x14ac:dyDescent="0.3">
      <c r="B38" s="53"/>
      <c r="C38" s="49"/>
      <c r="D38" t="s">
        <v>92</v>
      </c>
      <c r="E38" s="54"/>
      <c r="F38" s="15" t="s">
        <v>21</v>
      </c>
      <c r="G38" s="54"/>
      <c r="H38" s="54"/>
      <c r="I38" s="54"/>
      <c r="J38" s="54"/>
      <c r="K38" s="54"/>
      <c r="N38" s="62">
        <f>Scenario!N34</f>
        <v>0.02</v>
      </c>
      <c r="O38" s="62">
        <f>Scenario!O34</f>
        <v>2.5000000000000001E-2</v>
      </c>
      <c r="P38" s="62">
        <f>Scenario!P34</f>
        <v>0.03</v>
      </c>
    </row>
    <row r="39" spans="2:16" ht="15.55" x14ac:dyDescent="0.3">
      <c r="B39" s="53"/>
      <c r="C39" s="49"/>
      <c r="E39" s="54"/>
      <c r="F39" s="54"/>
      <c r="G39" s="54"/>
      <c r="H39" s="54"/>
      <c r="I39" s="54"/>
      <c r="J39" s="54"/>
      <c r="K39" s="54"/>
    </row>
    <row r="40" spans="2:16" x14ac:dyDescent="0.25">
      <c r="C40" s="49" t="s">
        <v>93</v>
      </c>
      <c r="F40" s="15"/>
    </row>
    <row r="41" spans="2:16" x14ac:dyDescent="0.25">
      <c r="D41" t="s">
        <v>94</v>
      </c>
      <c r="F41" s="102" t="s">
        <v>20</v>
      </c>
      <c r="K41" s="51">
        <v>70.5</v>
      </c>
    </row>
    <row r="42" spans="2:16" x14ac:dyDescent="0.25">
      <c r="D42" t="s">
        <v>142</v>
      </c>
      <c r="F42" s="15" t="s">
        <v>21</v>
      </c>
      <c r="L42" s="58">
        <f>Scenario!L40</f>
        <v>2.5000000000000001E-2</v>
      </c>
      <c r="M42" s="58">
        <f>Scenario!M40</f>
        <v>2.5000000000000001E-2</v>
      </c>
      <c r="N42" s="58">
        <f>Scenario!N40</f>
        <v>2.5000000000000001E-2</v>
      </c>
      <c r="O42" s="58">
        <f>Scenario!O40</f>
        <v>2.5000000000000001E-2</v>
      </c>
      <c r="P42" s="58">
        <f>Scenario!P40</f>
        <v>2.5000000000000001E-2</v>
      </c>
    </row>
    <row r="43" spans="2:16" x14ac:dyDescent="0.25">
      <c r="F43" s="15"/>
    </row>
    <row r="44" spans="2:16" ht="16.149999999999999" thickBot="1" x14ac:dyDescent="0.35">
      <c r="B44" s="48" t="s">
        <v>96</v>
      </c>
      <c r="C44" s="47"/>
      <c r="D44" s="47"/>
      <c r="E44" s="47"/>
      <c r="F44" s="76"/>
      <c r="G44" s="47"/>
      <c r="H44" s="47"/>
      <c r="I44" s="47"/>
      <c r="J44" s="47"/>
      <c r="K44" s="47"/>
      <c r="L44" s="47"/>
      <c r="M44" s="47"/>
      <c r="N44" s="47"/>
      <c r="O44" s="47"/>
      <c r="P44" s="47"/>
    </row>
    <row r="45" spans="2:16" x14ac:dyDescent="0.25">
      <c r="F45" s="15"/>
    </row>
    <row r="46" spans="2:16" x14ac:dyDescent="0.25">
      <c r="C46" s="49" t="s">
        <v>227</v>
      </c>
      <c r="F46" s="15"/>
    </row>
    <row r="47" spans="2:16" x14ac:dyDescent="0.25">
      <c r="D47" t="s">
        <v>228</v>
      </c>
      <c r="F47" s="102" t="s">
        <v>231</v>
      </c>
      <c r="L47" s="121">
        <v>2.8</v>
      </c>
    </row>
    <row r="48" spans="2:16" x14ac:dyDescent="0.25">
      <c r="D48" t="s">
        <v>229</v>
      </c>
      <c r="F48" s="102" t="s">
        <v>231</v>
      </c>
      <c r="L48" s="121">
        <v>1.2</v>
      </c>
    </row>
    <row r="49" spans="2:16" x14ac:dyDescent="0.25">
      <c r="D49" t="s">
        <v>230</v>
      </c>
      <c r="F49" s="102" t="s">
        <v>231</v>
      </c>
      <c r="L49" s="121">
        <v>1.9</v>
      </c>
    </row>
    <row r="50" spans="2:16" x14ac:dyDescent="0.25">
      <c r="D50" t="s">
        <v>232</v>
      </c>
      <c r="F50" s="102" t="s">
        <v>231</v>
      </c>
      <c r="L50">
        <f>SUM(L47:L49)</f>
        <v>5.9</v>
      </c>
    </row>
    <row r="51" spans="2:16" x14ac:dyDescent="0.25">
      <c r="F51" s="15"/>
    </row>
    <row r="52" spans="2:16" x14ac:dyDescent="0.25">
      <c r="C52" s="49" t="s">
        <v>102</v>
      </c>
      <c r="F52" s="15"/>
      <c r="K52" s="56"/>
    </row>
    <row r="53" spans="2:16" x14ac:dyDescent="0.25">
      <c r="D53" t="s">
        <v>233</v>
      </c>
      <c r="F53" s="102" t="s">
        <v>20</v>
      </c>
      <c r="L53" s="121">
        <v>10.5</v>
      </c>
    </row>
    <row r="54" spans="2:16" x14ac:dyDescent="0.25">
      <c r="C54" s="49"/>
      <c r="D54" t="s">
        <v>234</v>
      </c>
      <c r="F54" s="102" t="s">
        <v>20</v>
      </c>
      <c r="L54" s="121">
        <v>3.2</v>
      </c>
    </row>
    <row r="55" spans="2:16" x14ac:dyDescent="0.25">
      <c r="C55" s="49"/>
      <c r="D55" t="s">
        <v>235</v>
      </c>
      <c r="F55" s="102" t="s">
        <v>20</v>
      </c>
      <c r="L55" s="121">
        <v>5.0999999999999996</v>
      </c>
    </row>
    <row r="56" spans="2:16" x14ac:dyDescent="0.25">
      <c r="C56" s="49"/>
      <c r="D56" t="s">
        <v>102</v>
      </c>
      <c r="F56" s="102" t="s">
        <v>20</v>
      </c>
      <c r="L56">
        <f>SUM(L53:L55)</f>
        <v>18.799999999999997</v>
      </c>
    </row>
    <row r="57" spans="2:16" x14ac:dyDescent="0.25">
      <c r="C57" s="49"/>
      <c r="F57" s="15"/>
    </row>
    <row r="58" spans="2:16" x14ac:dyDescent="0.25">
      <c r="D58" t="s">
        <v>143</v>
      </c>
      <c r="F58" s="15" t="s">
        <v>21</v>
      </c>
      <c r="L58" s="62">
        <f>Scenario!L46</f>
        <v>0.02</v>
      </c>
      <c r="M58" s="62">
        <f>Scenario!M46</f>
        <v>3.5000000000000003E-2</v>
      </c>
      <c r="N58" s="62">
        <f>Scenario!N46</f>
        <v>0.03</v>
      </c>
      <c r="O58" s="62">
        <f>Scenario!O46</f>
        <v>3.2000000000000001E-2</v>
      </c>
      <c r="P58" s="62">
        <f>Scenario!P46</f>
        <v>3.5000000000000003E-2</v>
      </c>
    </row>
    <row r="59" spans="2:16" x14ac:dyDescent="0.25">
      <c r="C59" s="49"/>
      <c r="F59" s="15"/>
    </row>
    <row r="60" spans="2:16" x14ac:dyDescent="0.25">
      <c r="C60" s="49"/>
      <c r="D60" t="s">
        <v>13</v>
      </c>
      <c r="F60" s="102" t="s">
        <v>20</v>
      </c>
      <c r="L60" s="51">
        <v>125.2</v>
      </c>
    </row>
    <row r="61" spans="2:16" x14ac:dyDescent="0.25">
      <c r="F61" s="15"/>
    </row>
    <row r="62" spans="2:16" ht="16.149999999999999" thickBot="1" x14ac:dyDescent="0.35">
      <c r="B62" s="48" t="s">
        <v>239</v>
      </c>
      <c r="C62" s="47"/>
      <c r="D62" s="47"/>
      <c r="E62" s="47"/>
      <c r="F62" s="76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spans="2:16" x14ac:dyDescent="0.25">
      <c r="F63" s="15"/>
    </row>
    <row r="64" spans="2:16" x14ac:dyDescent="0.25">
      <c r="D64" t="s">
        <v>103</v>
      </c>
      <c r="F64" s="102" t="s">
        <v>20</v>
      </c>
      <c r="L64" s="51">
        <v>75</v>
      </c>
      <c r="M64" s="51">
        <v>550</v>
      </c>
      <c r="N64" s="51">
        <v>200</v>
      </c>
      <c r="O64" s="51">
        <v>550</v>
      </c>
      <c r="P64" s="51">
        <v>25.5</v>
      </c>
    </row>
    <row r="65" spans="2:16" x14ac:dyDescent="0.25">
      <c r="F65" s="15"/>
    </row>
    <row r="66" spans="2:16" x14ac:dyDescent="0.25">
      <c r="D66" t="s">
        <v>219</v>
      </c>
      <c r="F66" s="15" t="s">
        <v>104</v>
      </c>
    </row>
    <row r="67" spans="2:16" x14ac:dyDescent="0.25">
      <c r="F67" s="15"/>
    </row>
    <row r="68" spans="2:16" x14ac:dyDescent="0.25">
      <c r="C68" s="49" t="s">
        <v>105</v>
      </c>
      <c r="F68" s="15"/>
    </row>
    <row r="69" spans="2:16" x14ac:dyDescent="0.25">
      <c r="D69" t="s">
        <v>106</v>
      </c>
      <c r="F69" s="15" t="s">
        <v>218</v>
      </c>
      <c r="G69" s="51">
        <v>10</v>
      </c>
    </row>
    <row r="70" spans="2:16" x14ac:dyDescent="0.25">
      <c r="D70" t="s">
        <v>107</v>
      </c>
      <c r="F70" s="15" t="s">
        <v>218</v>
      </c>
      <c r="G70" s="51">
        <v>15</v>
      </c>
    </row>
    <row r="71" spans="2:16" x14ac:dyDescent="0.25">
      <c r="F71" s="15"/>
    </row>
    <row r="72" spans="2:16" ht="16.149999999999999" thickBot="1" x14ac:dyDescent="0.35">
      <c r="B72" s="48" t="s">
        <v>108</v>
      </c>
      <c r="C72" s="47"/>
      <c r="D72" s="47"/>
      <c r="E72" s="47"/>
      <c r="F72" s="76"/>
      <c r="G72" s="47"/>
      <c r="H72" s="47"/>
      <c r="I72" s="47"/>
      <c r="J72" s="47"/>
      <c r="K72" s="47"/>
      <c r="L72" s="47"/>
      <c r="M72" s="47"/>
      <c r="N72" s="47"/>
      <c r="O72" s="47"/>
      <c r="P72" s="47"/>
    </row>
    <row r="73" spans="2:16" x14ac:dyDescent="0.25">
      <c r="F73" s="15"/>
    </row>
    <row r="74" spans="2:16" x14ac:dyDescent="0.25">
      <c r="D74" t="s">
        <v>109</v>
      </c>
      <c r="F74" s="15"/>
      <c r="I74" s="55">
        <f t="shared" ref="I74:P74" si="2">I10</f>
        <v>365</v>
      </c>
      <c r="J74" s="55">
        <f t="shared" si="2"/>
        <v>366</v>
      </c>
      <c r="K74" s="55">
        <f t="shared" si="2"/>
        <v>365</v>
      </c>
      <c r="L74" s="55">
        <f t="shared" si="2"/>
        <v>365</v>
      </c>
      <c r="M74" s="55">
        <f t="shared" si="2"/>
        <v>365</v>
      </c>
      <c r="N74" s="55">
        <f t="shared" si="2"/>
        <v>366</v>
      </c>
      <c r="O74" s="55">
        <f t="shared" si="2"/>
        <v>365</v>
      </c>
      <c r="P74" s="55">
        <f t="shared" si="2"/>
        <v>365</v>
      </c>
    </row>
    <row r="75" spans="2:16" x14ac:dyDescent="0.25">
      <c r="F75" s="15"/>
    </row>
    <row r="76" spans="2:16" x14ac:dyDescent="0.25">
      <c r="C76" s="49" t="s">
        <v>110</v>
      </c>
      <c r="F76" s="15"/>
    </row>
    <row r="77" spans="2:16" x14ac:dyDescent="0.25">
      <c r="D77" t="s">
        <v>11</v>
      </c>
      <c r="F77" s="102" t="s">
        <v>20</v>
      </c>
      <c r="I77" s="55">
        <f>'Historical FS'!G13</f>
        <v>520</v>
      </c>
      <c r="J77" s="55">
        <f>'Historical FS'!H13</f>
        <v>515.5</v>
      </c>
      <c r="K77" s="55">
        <f>'Historical FS'!I13</f>
        <v>532</v>
      </c>
    </row>
    <row r="78" spans="2:16" x14ac:dyDescent="0.25">
      <c r="D78" t="s">
        <v>12</v>
      </c>
      <c r="F78" s="102" t="s">
        <v>20</v>
      </c>
      <c r="I78" s="55">
        <f>'Historical FS'!G15</f>
        <v>164.13000000000002</v>
      </c>
      <c r="J78" s="55">
        <f>'Historical FS'!H15</f>
        <v>184.5</v>
      </c>
      <c r="K78" s="55">
        <f>'Historical FS'!I15</f>
        <v>196.88</v>
      </c>
    </row>
    <row r="79" spans="2:16" x14ac:dyDescent="0.25">
      <c r="F79" s="15"/>
    </row>
    <row r="80" spans="2:16" x14ac:dyDescent="0.25">
      <c r="C80" s="49" t="s">
        <v>111</v>
      </c>
      <c r="F80" s="15"/>
    </row>
    <row r="81" spans="2:16" x14ac:dyDescent="0.25">
      <c r="D81" t="s">
        <v>53</v>
      </c>
      <c r="F81" s="102" t="s">
        <v>20</v>
      </c>
      <c r="I81" s="55">
        <f>'Historical FS'!G83</f>
        <v>47.773333333333333</v>
      </c>
      <c r="J81" s="55">
        <f>'Historical FS'!H83</f>
        <v>50.453333333333333</v>
      </c>
      <c r="K81" s="55">
        <f>'Historical FS'!I83</f>
        <v>50.56</v>
      </c>
    </row>
    <row r="82" spans="2:16" x14ac:dyDescent="0.25">
      <c r="D82" t="s">
        <v>54</v>
      </c>
      <c r="F82" s="102" t="s">
        <v>20</v>
      </c>
      <c r="I82" s="55">
        <f>'Historical FS'!G84</f>
        <v>11.24375</v>
      </c>
      <c r="J82" s="55">
        <f>'Historical FS'!H84</f>
        <v>12.877500000000001</v>
      </c>
      <c r="K82" s="55">
        <f>'Historical FS'!I84</f>
        <v>13.57375</v>
      </c>
    </row>
    <row r="83" spans="2:16" x14ac:dyDescent="0.25">
      <c r="D83" t="s">
        <v>112</v>
      </c>
      <c r="F83" s="102" t="s">
        <v>20</v>
      </c>
      <c r="I83" s="55">
        <f>'Historical FS'!G85</f>
        <v>18.426666666666666</v>
      </c>
      <c r="J83" s="55">
        <f>'Historical FS'!H85</f>
        <v>19.066666666666666</v>
      </c>
      <c r="K83" s="55">
        <f>'Historical FS'!I85</f>
        <v>19.353333333333332</v>
      </c>
    </row>
    <row r="84" spans="2:16" x14ac:dyDescent="0.25">
      <c r="D84" t="s">
        <v>63</v>
      </c>
      <c r="F84" s="102" t="s">
        <v>20</v>
      </c>
      <c r="I84" s="55">
        <f>'Historical FS'!G98</f>
        <v>18.233333333333334</v>
      </c>
      <c r="J84" s="55">
        <f>'Historical FS'!H98</f>
        <v>22.613333333333333</v>
      </c>
      <c r="K84" s="55">
        <f>'Historical FS'!I98</f>
        <v>21.676666666666666</v>
      </c>
    </row>
    <row r="85" spans="2:16" x14ac:dyDescent="0.25">
      <c r="D85" t="s">
        <v>113</v>
      </c>
      <c r="F85" s="102" t="s">
        <v>20</v>
      </c>
      <c r="I85" s="55">
        <f>'Historical FS'!G99</f>
        <v>18.443333333333335</v>
      </c>
      <c r="J85" s="55">
        <f>'Historical FS'!H99</f>
        <v>19.141666666666666</v>
      </c>
      <c r="K85" s="55">
        <f>'Historical FS'!I99</f>
        <v>19.436666666666667</v>
      </c>
    </row>
    <row r="86" spans="2:16" x14ac:dyDescent="0.25">
      <c r="F86" s="15"/>
    </row>
    <row r="87" spans="2:16" x14ac:dyDescent="0.25">
      <c r="C87" t="s">
        <v>114</v>
      </c>
      <c r="F87" s="15"/>
    </row>
    <row r="88" spans="2:16" x14ac:dyDescent="0.25">
      <c r="D88" t="str">
        <f>D81</f>
        <v>Accounts Receivable</v>
      </c>
      <c r="F88" s="15" t="s">
        <v>217</v>
      </c>
      <c r="I88">
        <f>I$81/I$77*I$74</f>
        <v>33.533205128205125</v>
      </c>
      <c r="J88">
        <f t="shared" ref="J88:K88" si="3">J$81/J$77*J$74</f>
        <v>35.821377303588754</v>
      </c>
      <c r="K88">
        <f t="shared" si="3"/>
        <v>34.688721804511282</v>
      </c>
      <c r="L88" s="51">
        <v>34.700000000000003</v>
      </c>
      <c r="M88" s="51">
        <v>35.1</v>
      </c>
      <c r="N88" s="51">
        <v>34.799999999999997</v>
      </c>
      <c r="O88" s="51">
        <v>34.9</v>
      </c>
      <c r="P88" s="51">
        <v>34.9</v>
      </c>
    </row>
    <row r="89" spans="2:16" x14ac:dyDescent="0.25">
      <c r="D89" t="str">
        <f t="shared" ref="D89:D92" si="4">D82</f>
        <v>Inventory</v>
      </c>
      <c r="F89" s="15" t="s">
        <v>217</v>
      </c>
      <c r="I89">
        <f>I82/I$78*I$74</f>
        <v>25.004379150673245</v>
      </c>
      <c r="J89">
        <f t="shared" ref="J89:K89" si="5">J82/J$78*J$74</f>
        <v>25.545609756097566</v>
      </c>
      <c r="K89">
        <f t="shared" si="5"/>
        <v>25.164662484762292</v>
      </c>
      <c r="L89" s="51">
        <v>25.2</v>
      </c>
      <c r="M89" s="51">
        <v>25.3</v>
      </c>
      <c r="N89" s="51">
        <v>25.2</v>
      </c>
      <c r="O89" s="51">
        <v>25.2</v>
      </c>
      <c r="P89" s="51">
        <v>25.2</v>
      </c>
    </row>
    <row r="90" spans="2:16" x14ac:dyDescent="0.25">
      <c r="D90" t="str">
        <f t="shared" si="4"/>
        <v>Other current Assets</v>
      </c>
      <c r="F90" s="15" t="s">
        <v>217</v>
      </c>
      <c r="I90">
        <f>I83/I$78*I$74</f>
        <v>40.978086476167263</v>
      </c>
      <c r="J90">
        <f t="shared" ref="J90:K90" si="6">J83/J$78*J$74</f>
        <v>37.823306233062326</v>
      </c>
      <c r="K90">
        <f t="shared" si="6"/>
        <v>35.879554381687662</v>
      </c>
      <c r="L90" s="51">
        <v>38.200000000000003</v>
      </c>
      <c r="M90" s="51">
        <v>37.299999999999997</v>
      </c>
      <c r="N90" s="51">
        <v>37.1</v>
      </c>
      <c r="O90" s="51">
        <v>37.5</v>
      </c>
      <c r="P90" s="51">
        <v>37.299999999999997</v>
      </c>
    </row>
    <row r="91" spans="2:16" x14ac:dyDescent="0.25">
      <c r="D91" t="str">
        <f t="shared" si="4"/>
        <v>Accounts Payable</v>
      </c>
      <c r="F91" s="15" t="s">
        <v>217</v>
      </c>
      <c r="I91">
        <f t="shared" ref="I91:K91" si="7">I84/I$78*I$74</f>
        <v>40.548142732386928</v>
      </c>
      <c r="J91">
        <f>J84/J$78*J$74</f>
        <v>44.858970189701893</v>
      </c>
      <c r="K91">
        <f t="shared" si="7"/>
        <v>40.186831233915754</v>
      </c>
      <c r="L91" s="51">
        <v>41.9</v>
      </c>
      <c r="M91" s="51">
        <v>42.3</v>
      </c>
      <c r="N91" s="51">
        <v>41.5</v>
      </c>
      <c r="O91" s="51">
        <v>41.9</v>
      </c>
      <c r="P91" s="51">
        <v>41.9</v>
      </c>
    </row>
    <row r="92" spans="2:16" x14ac:dyDescent="0.25">
      <c r="D92" t="str">
        <f t="shared" si="4"/>
        <v>Other Current Liabilities</v>
      </c>
      <c r="F92" s="15" t="s">
        <v>217</v>
      </c>
      <c r="I92">
        <f>I85/I$78*I$74</f>
        <v>41.015150592010393</v>
      </c>
      <c r="J92">
        <f t="shared" ref="J92:K92" si="8">J85/J$78*J$74</f>
        <v>37.97208672086721</v>
      </c>
      <c r="K92">
        <f t="shared" si="8"/>
        <v>36.034047812542326</v>
      </c>
      <c r="L92" s="51">
        <v>38.299999999999997</v>
      </c>
      <c r="M92" s="51">
        <v>37.4</v>
      </c>
      <c r="N92" s="51">
        <v>37.200000000000003</v>
      </c>
      <c r="O92" s="51">
        <v>37.6</v>
      </c>
      <c r="P92" s="51">
        <v>37.4</v>
      </c>
    </row>
    <row r="93" spans="2:16" x14ac:dyDescent="0.25">
      <c r="F93" s="15"/>
    </row>
    <row r="94" spans="2:16" ht="16.149999999999999" thickBot="1" x14ac:dyDescent="0.35">
      <c r="B94" s="48" t="s">
        <v>116</v>
      </c>
      <c r="C94" s="47"/>
      <c r="D94" s="47"/>
      <c r="E94" s="47"/>
      <c r="F94" s="76"/>
      <c r="G94" s="47"/>
      <c r="H94" s="47"/>
      <c r="I94" s="47"/>
      <c r="J94" s="47"/>
      <c r="K94" s="47"/>
      <c r="L94" s="47"/>
      <c r="M94" s="47"/>
      <c r="N94" s="47"/>
      <c r="O94" s="47"/>
      <c r="P94" s="47"/>
    </row>
    <row r="95" spans="2:16" x14ac:dyDescent="0.25">
      <c r="F95" s="15"/>
    </row>
    <row r="96" spans="2:16" x14ac:dyDescent="0.25">
      <c r="D96" t="s">
        <v>117</v>
      </c>
      <c r="F96" s="15" t="s">
        <v>21</v>
      </c>
      <c r="L96" s="57">
        <v>0.35</v>
      </c>
      <c r="M96" s="57">
        <v>0.35</v>
      </c>
      <c r="N96" s="57">
        <v>0.35</v>
      </c>
      <c r="O96" s="57">
        <v>0.35</v>
      </c>
      <c r="P96" s="57">
        <v>0.35</v>
      </c>
    </row>
    <row r="97" spans="2:16" x14ac:dyDescent="0.25">
      <c r="F97" s="15"/>
    </row>
    <row r="98" spans="2:16" x14ac:dyDescent="0.25">
      <c r="D98" t="s">
        <v>118</v>
      </c>
      <c r="F98" s="102" t="s">
        <v>20</v>
      </c>
      <c r="L98" s="51">
        <v>30</v>
      </c>
      <c r="M98" s="51">
        <v>30</v>
      </c>
      <c r="N98" s="51">
        <v>30</v>
      </c>
      <c r="O98" s="51">
        <v>30</v>
      </c>
      <c r="P98" s="51">
        <v>30</v>
      </c>
    </row>
    <row r="99" spans="2:16" x14ac:dyDescent="0.25">
      <c r="F99" s="15"/>
    </row>
    <row r="100" spans="2:16" ht="16.149999999999999" thickBot="1" x14ac:dyDescent="0.35">
      <c r="B100" s="48" t="s">
        <v>119</v>
      </c>
      <c r="C100" s="47"/>
      <c r="D100" s="47"/>
      <c r="E100" s="47"/>
      <c r="F100" s="76"/>
      <c r="G100" s="47"/>
      <c r="H100" s="47"/>
      <c r="I100" s="47"/>
      <c r="J100" s="47"/>
      <c r="K100" s="47"/>
      <c r="L100" s="47"/>
      <c r="M100" s="47"/>
      <c r="N100" s="47"/>
      <c r="O100" s="47"/>
      <c r="P100" s="47"/>
    </row>
    <row r="101" spans="2:16" x14ac:dyDescent="0.25">
      <c r="F101" s="15"/>
    </row>
    <row r="102" spans="2:16" x14ac:dyDescent="0.25">
      <c r="C102" s="49" t="s">
        <v>120</v>
      </c>
      <c r="F102" s="15"/>
    </row>
    <row r="103" spans="2:16" x14ac:dyDescent="0.25">
      <c r="D103" t="s">
        <v>123</v>
      </c>
      <c r="F103" s="15" t="s">
        <v>21</v>
      </c>
      <c r="G103" s="119">
        <v>4.2500000000000003E-2</v>
      </c>
      <c r="L103" s="120">
        <f t="shared" ref="L103" si="9">G103</f>
        <v>4.2500000000000003E-2</v>
      </c>
      <c r="M103" s="120">
        <f t="shared" ref="M103:P103" si="10">L103</f>
        <v>4.2500000000000003E-2</v>
      </c>
      <c r="N103" s="120">
        <f t="shared" si="10"/>
        <v>4.2500000000000003E-2</v>
      </c>
      <c r="O103" s="120">
        <f t="shared" si="10"/>
        <v>4.2500000000000003E-2</v>
      </c>
      <c r="P103" s="120">
        <f t="shared" si="10"/>
        <v>4.2500000000000003E-2</v>
      </c>
    </row>
    <row r="105" spans="2:16" x14ac:dyDescent="0.25">
      <c r="D105" t="s">
        <v>122</v>
      </c>
      <c r="F105" s="15" t="s">
        <v>21</v>
      </c>
      <c r="G105" s="119">
        <v>4.2500000000000003E-2</v>
      </c>
      <c r="L105" s="120">
        <f>G105</f>
        <v>4.2500000000000003E-2</v>
      </c>
      <c r="M105" s="120">
        <f>L105</f>
        <v>4.2500000000000003E-2</v>
      </c>
      <c r="N105" s="120">
        <f>M105</f>
        <v>4.2500000000000003E-2</v>
      </c>
      <c r="O105" s="120">
        <f>N105</f>
        <v>4.2500000000000003E-2</v>
      </c>
      <c r="P105" s="120">
        <f>O105</f>
        <v>4.2500000000000003E-2</v>
      </c>
    </row>
    <row r="107" spans="2:16" x14ac:dyDescent="0.25">
      <c r="D107" t="s">
        <v>126</v>
      </c>
      <c r="F107" s="15" t="s">
        <v>21</v>
      </c>
      <c r="G107" s="112">
        <v>2.2499999999999999E-2</v>
      </c>
      <c r="L107" s="58">
        <f>G107</f>
        <v>2.2499999999999999E-2</v>
      </c>
      <c r="M107" s="58">
        <f>L107</f>
        <v>2.2499999999999999E-2</v>
      </c>
      <c r="N107" s="58">
        <f t="shared" ref="N107:P107" si="11">M107</f>
        <v>2.2499999999999999E-2</v>
      </c>
      <c r="O107" s="58">
        <f t="shared" si="11"/>
        <v>2.2499999999999999E-2</v>
      </c>
      <c r="P107" s="58">
        <f t="shared" si="11"/>
        <v>2.2499999999999999E-2</v>
      </c>
    </row>
    <row r="109" spans="2:16" x14ac:dyDescent="0.25">
      <c r="D109" t="s">
        <v>124</v>
      </c>
      <c r="F109" s="15" t="s">
        <v>21</v>
      </c>
      <c r="G109" s="57">
        <v>1.0999999999999999E-2</v>
      </c>
      <c r="L109" s="58">
        <f>G109</f>
        <v>1.0999999999999999E-2</v>
      </c>
      <c r="M109" s="58">
        <f>L109</f>
        <v>1.0999999999999999E-2</v>
      </c>
      <c r="N109" s="58">
        <f>M109</f>
        <v>1.0999999999999999E-2</v>
      </c>
      <c r="O109" s="58">
        <f>N109</f>
        <v>1.0999999999999999E-2</v>
      </c>
      <c r="P109" s="58">
        <f>O109</f>
        <v>1.0999999999999999E-2</v>
      </c>
    </row>
    <row r="111" spans="2:16" x14ac:dyDescent="0.25">
      <c r="D111" t="s">
        <v>121</v>
      </c>
      <c r="F111" s="15" t="s">
        <v>21</v>
      </c>
      <c r="G111" s="57">
        <v>0.01</v>
      </c>
      <c r="L111" s="58">
        <f>G111</f>
        <v>0.01</v>
      </c>
      <c r="M111" s="58">
        <f>L111</f>
        <v>0.01</v>
      </c>
      <c r="N111" s="58">
        <f t="shared" ref="N111:P111" si="12">M111</f>
        <v>0.01</v>
      </c>
      <c r="O111" s="58">
        <f t="shared" si="12"/>
        <v>0.01</v>
      </c>
      <c r="P111" s="58">
        <f t="shared" si="12"/>
        <v>0.01</v>
      </c>
    </row>
    <row r="113" spans="2:16" x14ac:dyDescent="0.25">
      <c r="C113" s="49" t="s">
        <v>250</v>
      </c>
      <c r="F113" s="15"/>
    </row>
    <row r="114" spans="2:16" x14ac:dyDescent="0.25">
      <c r="D114" t="s">
        <v>251</v>
      </c>
      <c r="F114" s="102" t="s">
        <v>20</v>
      </c>
      <c r="L114" s="51">
        <v>0</v>
      </c>
      <c r="M114" s="51">
        <v>80</v>
      </c>
      <c r="N114" s="51">
        <v>0</v>
      </c>
      <c r="O114" s="51">
        <v>0</v>
      </c>
      <c r="P114" s="51">
        <v>0</v>
      </c>
    </row>
    <row r="115" spans="2:16" x14ac:dyDescent="0.25">
      <c r="D115" t="s">
        <v>252</v>
      </c>
      <c r="F115" s="102"/>
      <c r="L115" s="51">
        <v>0</v>
      </c>
      <c r="M115" s="51">
        <v>50</v>
      </c>
      <c r="N115" s="51">
        <v>50</v>
      </c>
      <c r="O115" s="51">
        <v>50</v>
      </c>
      <c r="P115" s="51">
        <v>50</v>
      </c>
    </row>
    <row r="117" spans="2:16" x14ac:dyDescent="0.25">
      <c r="D117" t="s">
        <v>253</v>
      </c>
      <c r="F117" s="102" t="s">
        <v>20</v>
      </c>
      <c r="L117" s="51">
        <v>0</v>
      </c>
      <c r="M117" s="121">
        <v>30</v>
      </c>
      <c r="N117" s="51">
        <v>0</v>
      </c>
      <c r="O117" s="121">
        <v>30</v>
      </c>
      <c r="P117" s="51">
        <v>0</v>
      </c>
    </row>
    <row r="118" spans="2:16" x14ac:dyDescent="0.25">
      <c r="D118" t="s">
        <v>254</v>
      </c>
      <c r="F118" s="102"/>
      <c r="L118" s="51">
        <v>90</v>
      </c>
      <c r="M118" s="51">
        <v>90</v>
      </c>
      <c r="N118" s="51">
        <v>90</v>
      </c>
      <c r="O118" s="51">
        <v>90</v>
      </c>
      <c r="P118" s="51">
        <v>90</v>
      </c>
    </row>
    <row r="119" spans="2:16" x14ac:dyDescent="0.25">
      <c r="F119" s="15"/>
    </row>
    <row r="120" spans="2:16" ht="16.149999999999999" thickBot="1" x14ac:dyDescent="0.35">
      <c r="B120" s="48" t="s">
        <v>127</v>
      </c>
      <c r="C120" s="47"/>
      <c r="D120" s="47"/>
      <c r="E120" s="47"/>
      <c r="F120" s="76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spans="2:16" x14ac:dyDescent="0.25">
      <c r="F121" s="15"/>
    </row>
    <row r="122" spans="2:16" x14ac:dyDescent="0.25">
      <c r="C122" s="49" t="s">
        <v>69</v>
      </c>
      <c r="F122" s="15"/>
    </row>
    <row r="123" spans="2:16" x14ac:dyDescent="0.25">
      <c r="D123" t="s">
        <v>223</v>
      </c>
      <c r="F123" s="102" t="s">
        <v>20</v>
      </c>
      <c r="L123" s="51">
        <v>0</v>
      </c>
      <c r="M123" s="51">
        <v>95</v>
      </c>
      <c r="N123" s="51">
        <v>0</v>
      </c>
      <c r="O123" s="51">
        <v>0</v>
      </c>
      <c r="P123" s="51">
        <v>0</v>
      </c>
    </row>
    <row r="124" spans="2:16" x14ac:dyDescent="0.25">
      <c r="F124" s="15"/>
    </row>
    <row r="125" spans="2:16" x14ac:dyDescent="0.25">
      <c r="D125" t="s">
        <v>257</v>
      </c>
      <c r="F125" s="15" t="s">
        <v>21</v>
      </c>
      <c r="L125" s="57">
        <v>7.4999999999999997E-2</v>
      </c>
      <c r="M125" s="57">
        <v>7.4999999999999997E-2</v>
      </c>
      <c r="N125" s="57">
        <v>7.4999999999999997E-2</v>
      </c>
      <c r="O125" s="57">
        <v>7.4999999999999997E-2</v>
      </c>
      <c r="P125" s="57">
        <v>7.4999999999999997E-2</v>
      </c>
    </row>
    <row r="126" spans="2:16" x14ac:dyDescent="0.25">
      <c r="F126" s="15"/>
    </row>
    <row r="127" spans="2:16" x14ac:dyDescent="0.25">
      <c r="C127" s="49" t="s">
        <v>70</v>
      </c>
      <c r="F127" s="15"/>
    </row>
    <row r="128" spans="2:16" x14ac:dyDescent="0.25">
      <c r="D128" t="s">
        <v>223</v>
      </c>
      <c r="F128" s="102" t="s">
        <v>20</v>
      </c>
      <c r="L128" s="51">
        <v>25</v>
      </c>
      <c r="M128" s="51">
        <v>0</v>
      </c>
      <c r="N128" s="51">
        <v>-25</v>
      </c>
      <c r="O128" s="51">
        <v>0</v>
      </c>
      <c r="P128" s="51">
        <v>50</v>
      </c>
    </row>
    <row r="129" spans="3:16" x14ac:dyDescent="0.25">
      <c r="D129" t="s">
        <v>129</v>
      </c>
      <c r="F129" s="15" t="s">
        <v>21</v>
      </c>
      <c r="L129" s="57">
        <v>0.25</v>
      </c>
      <c r="M129" s="57">
        <v>0.25</v>
      </c>
      <c r="N129" s="57">
        <v>0.25</v>
      </c>
      <c r="O129" s="57">
        <v>0.25</v>
      </c>
      <c r="P129" s="57">
        <v>0.25</v>
      </c>
    </row>
    <row r="130" spans="3:16" x14ac:dyDescent="0.25">
      <c r="F130" s="15"/>
    </row>
    <row r="131" spans="3:16" ht="14.4" thickBot="1" x14ac:dyDescent="0.3">
      <c r="C131" s="47" t="s">
        <v>130</v>
      </c>
      <c r="D131" s="47"/>
      <c r="E131" s="47"/>
      <c r="F131" s="76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spans="3:16" x14ac:dyDescent="0.25">
      <c r="F132" s="15"/>
    </row>
    <row r="133" spans="3:16" x14ac:dyDescent="0.25">
      <c r="D133" t="s">
        <v>131</v>
      </c>
      <c r="F133" s="102" t="s">
        <v>20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</row>
    <row r="134" spans="3:16" x14ac:dyDescent="0.25">
      <c r="D134" t="s">
        <v>132</v>
      </c>
      <c r="F134" s="102" t="s">
        <v>20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</row>
    <row r="135" spans="3:16" x14ac:dyDescent="0.25">
      <c r="D135" t="s">
        <v>133</v>
      </c>
      <c r="F135" s="102" t="s">
        <v>20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</row>
    <row r="136" spans="3:16" x14ac:dyDescent="0.25">
      <c r="D136" t="s">
        <v>134</v>
      </c>
      <c r="F136" s="102" t="s">
        <v>20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</row>
    <row r="137" spans="3:16" x14ac:dyDescent="0.25">
      <c r="D137" t="s">
        <v>135</v>
      </c>
      <c r="F137" s="102" t="s">
        <v>20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</row>
    <row r="138" spans="3:16" x14ac:dyDescent="0.25">
      <c r="D138" t="s">
        <v>136</v>
      </c>
      <c r="F138" s="102" t="s">
        <v>20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</row>
    <row r="139" spans="3:16" x14ac:dyDescent="0.25">
      <c r="D139" t="s">
        <v>137</v>
      </c>
      <c r="F139" s="102" t="s">
        <v>20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</row>
    <row r="140" spans="3:16" x14ac:dyDescent="0.25">
      <c r="D140" t="s">
        <v>183</v>
      </c>
      <c r="F140" s="102" t="s">
        <v>20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</row>
    <row r="141" spans="3:16" x14ac:dyDescent="0.25">
      <c r="D141" t="s">
        <v>184</v>
      </c>
      <c r="F141" s="102" t="s">
        <v>20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</row>
    <row r="142" spans="3:16" x14ac:dyDescent="0.25">
      <c r="D142" t="s">
        <v>189</v>
      </c>
      <c r="F142" s="102" t="s">
        <v>20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</row>
    <row r="143" spans="3:16" x14ac:dyDescent="0.25">
      <c r="D143" t="s">
        <v>190</v>
      </c>
      <c r="F143" s="102" t="s">
        <v>20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</row>
    <row r="144" spans="3:16" x14ac:dyDescent="0.25">
      <c r="D144" t="s">
        <v>191</v>
      </c>
      <c r="F144" s="102" t="s">
        <v>20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</row>
  </sheetData>
  <mergeCells count="2">
    <mergeCell ref="I3:J3"/>
    <mergeCell ref="K3:L3"/>
  </mergeCells>
  <pageMargins left="0.7" right="0.7" top="0.75" bottom="0.75" header="0.3" footer="0.3"/>
  <pageSetup fitToHeight="0" orientation="landscape" r:id="rId1"/>
  <headerFooter>
    <oddFooter>&amp;LPrinted on: &amp;D at &amp;T&amp;C&amp;A&amp;R&amp;P of &amp;N</oddFooter>
  </headerFooter>
  <rowBreaks count="3" manualBreakCount="3">
    <brk id="43" max="16383" man="1"/>
    <brk id="71" max="16383" man="1"/>
    <brk id="9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4B38-A99B-4FA9-A200-FCF33E70100D}">
  <sheetPr>
    <outlinePr summaryBelow="0" summaryRight="0"/>
    <pageSetUpPr autoPageBreaks="0" fitToPage="1"/>
  </sheetPr>
  <dimension ref="A1:P152"/>
  <sheetViews>
    <sheetView showGridLines="0" zoomScale="85" zoomScaleNormal="85" workbookViewId="0">
      <pane ySplit="6" topLeftCell="A7" activePane="bottomLeft" state="frozen"/>
      <selection activeCell="F132" sqref="F132"/>
      <selection pane="bottomLeft" activeCell="A7" sqref="A7"/>
    </sheetView>
  </sheetViews>
  <sheetFormatPr defaultRowHeight="13.85" x14ac:dyDescent="0.25"/>
  <cols>
    <col min="1" max="3" width="1.453125" customWidth="1"/>
    <col min="4" max="4" width="22.08984375" customWidth="1"/>
    <col min="5" max="5" width="1.54296875" customWidth="1"/>
    <col min="6" max="6" width="8.453125" bestFit="1" customWidth="1"/>
    <col min="7" max="7" width="5.26953125" bestFit="1" customWidth="1"/>
    <col min="8" max="8" width="1.7265625" customWidth="1"/>
    <col min="9" max="16" width="11" customWidth="1"/>
  </cols>
  <sheetData>
    <row r="1" spans="1:16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7.850000000000001" x14ac:dyDescent="0.35">
      <c r="A2" s="40"/>
      <c r="B2" s="41" t="str">
        <f>Cover!$C$7</f>
        <v>Nudu Noodles</v>
      </c>
      <c r="C2" s="40"/>
      <c r="D2" s="40"/>
      <c r="E2" s="40"/>
      <c r="F2" s="40"/>
      <c r="G2" s="40"/>
      <c r="H2" s="40"/>
      <c r="I2" s="44" t="str">
        <f>"Financial Forecast "&amp;$L$6&amp;" to "&amp;$P$6</f>
        <v>Financial Forecast 2022 to 2026</v>
      </c>
      <c r="J2" s="44"/>
      <c r="K2" s="44"/>
      <c r="L2" s="44"/>
      <c r="M2" s="40"/>
      <c r="N2" s="40"/>
      <c r="O2" s="40"/>
      <c r="P2" s="40"/>
    </row>
    <row r="3" spans="1:16" x14ac:dyDescent="0.25">
      <c r="A3" s="40"/>
      <c r="B3" s="42" t="s">
        <v>226</v>
      </c>
      <c r="C3" s="40"/>
      <c r="D3" s="40"/>
      <c r="E3" s="40"/>
      <c r="F3" s="40"/>
      <c r="G3" s="40"/>
      <c r="H3" s="40"/>
      <c r="I3" s="126" t="str">
        <f ca="1">"BS Check: "&amp;IF(Model!F115=0,"OK","ERROR")</f>
        <v>BS Check: OK</v>
      </c>
      <c r="J3" s="127"/>
      <c r="K3" s="126" t="str">
        <f>Scenarioused</f>
        <v>Scenario: Base Case</v>
      </c>
      <c r="L3" s="127"/>
      <c r="M3" s="40"/>
      <c r="N3" s="40"/>
      <c r="O3" s="40"/>
      <c r="P3" s="40"/>
    </row>
    <row r="5" spans="1:16" x14ac:dyDescent="0.25">
      <c r="F5" s="92"/>
      <c r="G5" s="92"/>
      <c r="H5" s="92"/>
      <c r="I5" s="93" t="s">
        <v>75</v>
      </c>
      <c r="J5" s="93" t="s">
        <v>75</v>
      </c>
      <c r="K5" s="93" t="s">
        <v>75</v>
      </c>
      <c r="L5" s="93" t="s">
        <v>76</v>
      </c>
      <c r="M5" s="93" t="s">
        <v>76</v>
      </c>
      <c r="N5" s="93" t="s">
        <v>76</v>
      </c>
      <c r="O5" s="93" t="s">
        <v>76</v>
      </c>
      <c r="P5" s="93" t="s">
        <v>76</v>
      </c>
    </row>
    <row r="6" spans="1:16" x14ac:dyDescent="0.25">
      <c r="B6" s="39"/>
      <c r="C6" s="39"/>
      <c r="D6" s="39"/>
      <c r="E6" s="39"/>
      <c r="F6" s="94" t="s">
        <v>85</v>
      </c>
      <c r="G6" s="94" t="s">
        <v>81</v>
      </c>
      <c r="H6" s="94"/>
      <c r="I6" s="95">
        <f>J6-1</f>
        <v>2019</v>
      </c>
      <c r="J6" s="95">
        <f>K6-1</f>
        <v>2020</v>
      </c>
      <c r="K6" s="95">
        <f>Cover!$D$12</f>
        <v>2021</v>
      </c>
      <c r="L6" s="96">
        <f>K6+1</f>
        <v>2022</v>
      </c>
      <c r="M6" s="96">
        <f t="shared" ref="M6:P6" si="0">L6+1</f>
        <v>2023</v>
      </c>
      <c r="N6" s="96">
        <f t="shared" si="0"/>
        <v>2024</v>
      </c>
      <c r="O6" s="96">
        <f t="shared" si="0"/>
        <v>2025</v>
      </c>
      <c r="P6" s="96">
        <f t="shared" si="0"/>
        <v>2026</v>
      </c>
    </row>
    <row r="8" spans="1:16" ht="15.55" x14ac:dyDescent="0.3">
      <c r="B8" s="106" t="s">
        <v>220</v>
      </c>
    </row>
    <row r="9" spans="1:16" x14ac:dyDescent="0.25">
      <c r="D9" s="59" t="str">
        <f>"Scenario: "&amp;CHOOSE($E$9,D10,D11,D12)</f>
        <v>Scenario: Base Case</v>
      </c>
      <c r="E9" s="113">
        <v>1</v>
      </c>
    </row>
    <row r="10" spans="1:16" x14ac:dyDescent="0.25">
      <c r="D10" s="59" t="s">
        <v>138</v>
      </c>
    </row>
    <row r="11" spans="1:16" x14ac:dyDescent="0.25">
      <c r="D11" s="60" t="s">
        <v>139</v>
      </c>
    </row>
    <row r="12" spans="1:16" x14ac:dyDescent="0.25">
      <c r="D12" s="61" t="s">
        <v>140</v>
      </c>
    </row>
    <row r="13" spans="1:16" x14ac:dyDescent="0.25">
      <c r="G13" s="97"/>
    </row>
    <row r="14" spans="1:16" x14ac:dyDescent="0.25">
      <c r="G14" s="97"/>
    </row>
    <row r="15" spans="1:16" ht="16.149999999999999" thickBot="1" x14ac:dyDescent="0.35">
      <c r="B15" s="48" t="s">
        <v>242</v>
      </c>
      <c r="C15" s="47"/>
      <c r="D15" s="47"/>
      <c r="E15" s="47"/>
      <c r="F15" s="47"/>
      <c r="G15" s="105"/>
      <c r="H15" s="47"/>
      <c r="I15" s="47"/>
      <c r="J15" s="47"/>
      <c r="K15" s="47"/>
      <c r="L15" s="47"/>
      <c r="M15" s="47"/>
      <c r="N15" s="47"/>
      <c r="O15" s="47"/>
      <c r="P15" s="47"/>
    </row>
    <row r="16" spans="1:16" x14ac:dyDescent="0.25">
      <c r="C16" s="1" t="s">
        <v>141</v>
      </c>
      <c r="F16" s="15" t="s">
        <v>21</v>
      </c>
      <c r="G16" s="97"/>
      <c r="L16" s="56">
        <f>CHOOSE($E$9,L17,L18,L19)</f>
        <v>2.5000000000000001E-2</v>
      </c>
      <c r="M16" s="56">
        <f t="shared" ref="M16:P16" si="1">CHOOSE($E$9,M17,M18,M19)</f>
        <v>2.1999999999999999E-2</v>
      </c>
      <c r="N16" s="56">
        <f t="shared" si="1"/>
        <v>0.02</v>
      </c>
      <c r="O16" s="56">
        <f t="shared" si="1"/>
        <v>1.2999999999999999E-2</v>
      </c>
      <c r="P16" s="56">
        <f t="shared" si="1"/>
        <v>2.5000000000000001E-2</v>
      </c>
    </row>
    <row r="17" spans="2:16" x14ac:dyDescent="0.25">
      <c r="D17" t="s">
        <v>138</v>
      </c>
      <c r="F17" s="15" t="s">
        <v>21</v>
      </c>
      <c r="G17" s="97"/>
      <c r="L17" s="57">
        <v>2.5000000000000001E-2</v>
      </c>
      <c r="M17" s="57">
        <v>2.1999999999999999E-2</v>
      </c>
      <c r="N17" s="57">
        <v>0.02</v>
      </c>
      <c r="O17" s="57">
        <v>1.2999999999999999E-2</v>
      </c>
      <c r="P17" s="57">
        <v>2.5000000000000001E-2</v>
      </c>
    </row>
    <row r="18" spans="2:16" x14ac:dyDescent="0.25">
      <c r="D18" t="s">
        <v>139</v>
      </c>
      <c r="F18" s="15" t="s">
        <v>21</v>
      </c>
      <c r="G18" s="97"/>
      <c r="L18" s="57">
        <v>0.03</v>
      </c>
      <c r="M18" s="57">
        <v>0.03</v>
      </c>
      <c r="N18" s="57">
        <v>0.03</v>
      </c>
      <c r="O18" s="57">
        <v>1.7999999999999999E-2</v>
      </c>
      <c r="P18" s="57">
        <v>0.03</v>
      </c>
    </row>
    <row r="19" spans="2:16" x14ac:dyDescent="0.25">
      <c r="D19" t="s">
        <v>140</v>
      </c>
      <c r="F19" s="15" t="s">
        <v>21</v>
      </c>
      <c r="G19" s="97"/>
      <c r="L19" s="57">
        <v>0.02</v>
      </c>
      <c r="M19" s="57">
        <v>0.02</v>
      </c>
      <c r="N19" s="57">
        <v>0.02</v>
      </c>
      <c r="O19" s="57">
        <v>8.0000000000000002E-3</v>
      </c>
      <c r="P19" s="57">
        <v>0.02</v>
      </c>
    </row>
    <row r="20" spans="2:16" x14ac:dyDescent="0.25">
      <c r="G20" s="97"/>
    </row>
    <row r="21" spans="2:16" ht="16.149999999999999" thickBot="1" x14ac:dyDescent="0.35">
      <c r="B21" s="48" t="s">
        <v>241</v>
      </c>
      <c r="C21" s="47"/>
      <c r="D21" s="47"/>
      <c r="E21" s="47"/>
      <c r="F21" s="47"/>
      <c r="G21" s="105"/>
      <c r="H21" s="47"/>
      <c r="I21" s="47"/>
      <c r="J21" s="47"/>
      <c r="K21" s="47"/>
      <c r="L21" s="47"/>
      <c r="M21" s="47"/>
      <c r="N21" s="47"/>
      <c r="O21" s="47"/>
      <c r="P21" s="47"/>
    </row>
    <row r="22" spans="2:16" x14ac:dyDescent="0.25">
      <c r="C22" s="1" t="s">
        <v>141</v>
      </c>
      <c r="F22" s="15" t="s">
        <v>21</v>
      </c>
      <c r="G22" s="97"/>
      <c r="L22" s="56">
        <f>CHOOSE($E$9,L23,L24,L25)</f>
        <v>0.03</v>
      </c>
      <c r="M22" s="56">
        <f t="shared" ref="M22" si="2">CHOOSE($E$9,M23,M24,M25)</f>
        <v>3.5000000000000003E-2</v>
      </c>
      <c r="N22" s="56">
        <f t="shared" ref="N22" si="3">CHOOSE($E$9,N23,N24,N25)</f>
        <v>0.02</v>
      </c>
      <c r="O22" s="56">
        <f t="shared" ref="O22" si="4">CHOOSE($E$9,O23,O24,O25)</f>
        <v>2.5000000000000001E-2</v>
      </c>
      <c r="P22" s="56">
        <f t="shared" ref="P22" si="5">CHOOSE($E$9,P23,P24,P25)</f>
        <v>0.03</v>
      </c>
    </row>
    <row r="23" spans="2:16" x14ac:dyDescent="0.25">
      <c r="D23" t="s">
        <v>138</v>
      </c>
      <c r="F23" s="15" t="s">
        <v>21</v>
      </c>
      <c r="L23" s="57">
        <v>0.03</v>
      </c>
      <c r="M23" s="57">
        <v>3.5000000000000003E-2</v>
      </c>
      <c r="N23" s="57">
        <v>0.02</v>
      </c>
      <c r="O23" s="57">
        <v>2.5000000000000001E-2</v>
      </c>
      <c r="P23" s="57">
        <v>0.03</v>
      </c>
    </row>
    <row r="24" spans="2:16" x14ac:dyDescent="0.25">
      <c r="D24" t="s">
        <v>139</v>
      </c>
      <c r="F24" s="15" t="s">
        <v>21</v>
      </c>
      <c r="L24" s="57">
        <v>3.5000000000000003E-2</v>
      </c>
      <c r="M24" s="57">
        <v>0.04</v>
      </c>
      <c r="N24" s="57">
        <v>2.5000000000000001E-2</v>
      </c>
      <c r="O24" s="57">
        <v>0.03</v>
      </c>
      <c r="P24" s="57">
        <v>3.5000000000000003E-2</v>
      </c>
    </row>
    <row r="25" spans="2:16" x14ac:dyDescent="0.25">
      <c r="D25" t="s">
        <v>140</v>
      </c>
      <c r="F25" s="15" t="s">
        <v>21</v>
      </c>
      <c r="L25" s="57">
        <v>2.5000000000000001E-2</v>
      </c>
      <c r="M25" s="57">
        <v>0.03</v>
      </c>
      <c r="N25" s="57">
        <v>1.4999999999999999E-2</v>
      </c>
      <c r="O25" s="57">
        <v>0.02</v>
      </c>
      <c r="P25" s="57">
        <v>2.5000000000000001E-2</v>
      </c>
    </row>
    <row r="26" spans="2:16" x14ac:dyDescent="0.25">
      <c r="F26" s="15"/>
    </row>
    <row r="27" spans="2:16" ht="16.149999999999999" thickBot="1" x14ac:dyDescent="0.35">
      <c r="B27" s="48" t="s">
        <v>243</v>
      </c>
      <c r="C27" s="47"/>
      <c r="D27" s="47"/>
      <c r="E27" s="47"/>
      <c r="F27" s="47"/>
      <c r="G27" s="105"/>
      <c r="H27" s="47"/>
      <c r="I27" s="47"/>
      <c r="J27" s="47"/>
      <c r="K27" s="47"/>
      <c r="L27" s="47"/>
      <c r="M27" s="47"/>
      <c r="N27" s="47"/>
      <c r="O27" s="47"/>
      <c r="P27" s="47"/>
    </row>
    <row r="28" spans="2:16" x14ac:dyDescent="0.25">
      <c r="C28" s="1" t="s">
        <v>141</v>
      </c>
      <c r="F28" s="15" t="s">
        <v>21</v>
      </c>
      <c r="G28" s="97"/>
      <c r="L28" s="56">
        <f>CHOOSE($E$9,L29,L30,L31)</f>
        <v>0</v>
      </c>
      <c r="M28" s="56">
        <f t="shared" ref="M28:P28" si="6">CHOOSE($E$9,M29,M30,M31)</f>
        <v>0</v>
      </c>
      <c r="N28" s="56">
        <f t="shared" si="6"/>
        <v>2.8000000000000001E-2</v>
      </c>
      <c r="O28" s="56">
        <f t="shared" si="6"/>
        <v>1.2999999999999999E-2</v>
      </c>
      <c r="P28" s="56">
        <f t="shared" si="6"/>
        <v>0.02</v>
      </c>
    </row>
    <row r="29" spans="2:16" x14ac:dyDescent="0.25">
      <c r="D29" t="s">
        <v>138</v>
      </c>
      <c r="F29" s="15" t="s">
        <v>21</v>
      </c>
      <c r="G29" s="97"/>
      <c r="L29" s="57"/>
      <c r="M29" s="57"/>
      <c r="N29" s="57">
        <v>2.8000000000000001E-2</v>
      </c>
      <c r="O29" s="57">
        <v>1.2999999999999999E-2</v>
      </c>
      <c r="P29" s="57">
        <v>0.02</v>
      </c>
    </row>
    <row r="30" spans="2:16" x14ac:dyDescent="0.25">
      <c r="D30" t="s">
        <v>139</v>
      </c>
      <c r="F30" s="15" t="s">
        <v>21</v>
      </c>
      <c r="G30" s="97"/>
      <c r="L30" s="57"/>
      <c r="M30" s="57"/>
      <c r="N30" s="57">
        <v>3.3000000000000002E-2</v>
      </c>
      <c r="O30" s="57">
        <v>1.7999999999999999E-2</v>
      </c>
      <c r="P30" s="57">
        <v>2.5000000000000001E-2</v>
      </c>
    </row>
    <row r="31" spans="2:16" x14ac:dyDescent="0.25">
      <c r="D31" t="s">
        <v>140</v>
      </c>
      <c r="F31" s="15" t="s">
        <v>21</v>
      </c>
      <c r="G31" s="97"/>
      <c r="L31" s="57"/>
      <c r="M31" s="57"/>
      <c r="N31" s="57">
        <v>2.3E-2</v>
      </c>
      <c r="O31" s="57">
        <v>8.0000000000000002E-3</v>
      </c>
      <c r="P31" s="57">
        <v>1.4999999999999999E-2</v>
      </c>
    </row>
    <row r="32" spans="2:16" x14ac:dyDescent="0.25">
      <c r="G32" s="97"/>
    </row>
    <row r="33" spans="2:16" ht="16.149999999999999" thickBot="1" x14ac:dyDescent="0.35">
      <c r="B33" s="48" t="s">
        <v>244</v>
      </c>
      <c r="C33" s="47"/>
      <c r="D33" s="47"/>
      <c r="E33" s="47"/>
      <c r="F33" s="47"/>
      <c r="G33" s="105"/>
      <c r="H33" s="47"/>
      <c r="I33" s="47"/>
      <c r="J33" s="47"/>
      <c r="K33" s="47"/>
      <c r="L33" s="47"/>
      <c r="M33" s="47"/>
      <c r="N33" s="47"/>
      <c r="O33" s="47"/>
      <c r="P33" s="47"/>
    </row>
    <row r="34" spans="2:16" x14ac:dyDescent="0.25">
      <c r="C34" s="1" t="s">
        <v>141</v>
      </c>
      <c r="F34" s="15" t="s">
        <v>21</v>
      </c>
      <c r="G34" s="97"/>
      <c r="L34" s="56">
        <f>CHOOSE($E$9,L35,L36,L37)</f>
        <v>0</v>
      </c>
      <c r="M34" s="56">
        <f t="shared" ref="M34:P34" si="7">CHOOSE($E$9,M35,M36,M37)</f>
        <v>0</v>
      </c>
      <c r="N34" s="56">
        <f t="shared" si="7"/>
        <v>0.02</v>
      </c>
      <c r="O34" s="56">
        <f t="shared" si="7"/>
        <v>2.5000000000000001E-2</v>
      </c>
      <c r="P34" s="56">
        <f t="shared" si="7"/>
        <v>0.03</v>
      </c>
    </row>
    <row r="35" spans="2:16" x14ac:dyDescent="0.25">
      <c r="D35" t="s">
        <v>138</v>
      </c>
      <c r="F35" s="15" t="s">
        <v>21</v>
      </c>
      <c r="L35" s="57">
        <v>0</v>
      </c>
      <c r="M35" s="57">
        <v>0</v>
      </c>
      <c r="N35" s="57">
        <v>0.02</v>
      </c>
      <c r="O35" s="57">
        <v>2.5000000000000001E-2</v>
      </c>
      <c r="P35" s="57">
        <v>0.03</v>
      </c>
    </row>
    <row r="36" spans="2:16" x14ac:dyDescent="0.25">
      <c r="D36" t="s">
        <v>139</v>
      </c>
      <c r="F36" s="15" t="s">
        <v>21</v>
      </c>
      <c r="L36" s="57">
        <v>0</v>
      </c>
      <c r="M36" s="57">
        <v>0</v>
      </c>
      <c r="N36" s="57">
        <v>2.5000000000000001E-2</v>
      </c>
      <c r="O36" s="57">
        <v>3.5000000000000003E-2</v>
      </c>
      <c r="P36" s="57">
        <v>0.04</v>
      </c>
    </row>
    <row r="37" spans="2:16" x14ac:dyDescent="0.25">
      <c r="D37" t="s">
        <v>140</v>
      </c>
      <c r="F37" s="15" t="s">
        <v>21</v>
      </c>
      <c r="L37" s="57">
        <v>0</v>
      </c>
      <c r="M37" s="57">
        <v>0</v>
      </c>
      <c r="N37" s="57">
        <v>1.4999999999999999E-2</v>
      </c>
      <c r="O37" s="57">
        <v>1.4999999999999999E-2</v>
      </c>
      <c r="P37" s="57">
        <v>1.4999999999999999E-2</v>
      </c>
    </row>
    <row r="38" spans="2:16" x14ac:dyDescent="0.25">
      <c r="F38" s="15"/>
    </row>
    <row r="39" spans="2:16" ht="16.149999999999999" thickBot="1" x14ac:dyDescent="0.35">
      <c r="B39" s="48" t="s">
        <v>142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spans="2:16" x14ac:dyDescent="0.25">
      <c r="C40" s="1" t="s">
        <v>141</v>
      </c>
      <c r="F40" s="15" t="s">
        <v>21</v>
      </c>
      <c r="L40" s="56">
        <f>CHOOSE($E$9,L41,L42,L43)</f>
        <v>2.5000000000000001E-2</v>
      </c>
      <c r="M40" s="56">
        <f t="shared" ref="M40" si="8">CHOOSE($E$9,M41,M42,M43)</f>
        <v>2.5000000000000001E-2</v>
      </c>
      <c r="N40" s="56">
        <f t="shared" ref="N40" si="9">CHOOSE($E$9,N41,N42,N43)</f>
        <v>2.5000000000000001E-2</v>
      </c>
      <c r="O40" s="56">
        <f t="shared" ref="O40" si="10">CHOOSE($E$9,O41,O42,O43)</f>
        <v>2.5000000000000001E-2</v>
      </c>
      <c r="P40" s="56">
        <f t="shared" ref="P40" si="11">CHOOSE($E$9,P41,P42,P43)</f>
        <v>2.5000000000000001E-2</v>
      </c>
    </row>
    <row r="41" spans="2:16" x14ac:dyDescent="0.25">
      <c r="D41" t="s">
        <v>138</v>
      </c>
      <c r="F41" s="15" t="s">
        <v>21</v>
      </c>
      <c r="L41" s="57">
        <v>2.5000000000000001E-2</v>
      </c>
      <c r="M41" s="57">
        <v>2.5000000000000001E-2</v>
      </c>
      <c r="N41" s="57">
        <v>2.5000000000000001E-2</v>
      </c>
      <c r="O41" s="57">
        <v>2.5000000000000001E-2</v>
      </c>
      <c r="P41" s="57">
        <v>2.5000000000000001E-2</v>
      </c>
    </row>
    <row r="42" spans="2:16" x14ac:dyDescent="0.25">
      <c r="D42" t="s">
        <v>139</v>
      </c>
      <c r="F42" s="15" t="s">
        <v>21</v>
      </c>
      <c r="L42" s="57">
        <v>0.03</v>
      </c>
      <c r="M42" s="57">
        <v>0.03</v>
      </c>
      <c r="N42" s="57">
        <v>0.03</v>
      </c>
      <c r="O42" s="57">
        <v>0.03</v>
      </c>
      <c r="P42" s="57">
        <v>0.03</v>
      </c>
    </row>
    <row r="43" spans="2:16" x14ac:dyDescent="0.25">
      <c r="D43" t="s">
        <v>140</v>
      </c>
      <c r="F43" s="15" t="s">
        <v>21</v>
      </c>
      <c r="L43" s="57">
        <v>0.02</v>
      </c>
      <c r="M43" s="57">
        <v>0.02</v>
      </c>
      <c r="N43" s="57">
        <v>0.02</v>
      </c>
      <c r="O43" s="57">
        <v>0.02</v>
      </c>
      <c r="P43" s="57">
        <v>0.02</v>
      </c>
    </row>
    <row r="45" spans="2:16" ht="16.149999999999999" thickBot="1" x14ac:dyDescent="0.35">
      <c r="B45" s="48" t="s">
        <v>143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spans="2:16" x14ac:dyDescent="0.25">
      <c r="C46" s="1" t="s">
        <v>141</v>
      </c>
      <c r="F46" s="15" t="s">
        <v>21</v>
      </c>
      <c r="L46" s="56">
        <f>CHOOSE($E$9,L47,L48,L49)</f>
        <v>0.02</v>
      </c>
      <c r="M46" s="56">
        <f t="shared" ref="M46" si="12">CHOOSE($E$9,M47,M48,M49)</f>
        <v>3.5000000000000003E-2</v>
      </c>
      <c r="N46" s="56">
        <f t="shared" ref="N46" si="13">CHOOSE($E$9,N47,N48,N49)</f>
        <v>0.03</v>
      </c>
      <c r="O46" s="56">
        <f t="shared" ref="O46" si="14">CHOOSE($E$9,O47,O48,O49)</f>
        <v>3.2000000000000001E-2</v>
      </c>
      <c r="P46" s="56">
        <f t="shared" ref="P46" si="15">CHOOSE($E$9,P47,P48,P49)</f>
        <v>3.5000000000000003E-2</v>
      </c>
    </row>
    <row r="47" spans="2:16" x14ac:dyDescent="0.25">
      <c r="D47" t="s">
        <v>138</v>
      </c>
      <c r="F47" s="15" t="s">
        <v>21</v>
      </c>
      <c r="L47" s="57">
        <v>0.02</v>
      </c>
      <c r="M47" s="57">
        <v>3.5000000000000003E-2</v>
      </c>
      <c r="N47" s="57">
        <v>0.03</v>
      </c>
      <c r="O47" s="57">
        <v>3.2000000000000001E-2</v>
      </c>
      <c r="P47" s="57">
        <v>3.5000000000000003E-2</v>
      </c>
    </row>
    <row r="48" spans="2:16" x14ac:dyDescent="0.25">
      <c r="D48" t="s">
        <v>139</v>
      </c>
      <c r="F48" s="15" t="s">
        <v>21</v>
      </c>
      <c r="L48" s="57">
        <v>0.01</v>
      </c>
      <c r="M48" s="57">
        <v>2.5000000000000001E-2</v>
      </c>
      <c r="N48" s="57">
        <v>1.9999999999999997E-2</v>
      </c>
      <c r="O48" s="57">
        <v>2.1999999999999999E-2</v>
      </c>
      <c r="P48" s="57">
        <v>2.5000000000000001E-2</v>
      </c>
    </row>
    <row r="49" spans="4:16" x14ac:dyDescent="0.25">
      <c r="D49" t="s">
        <v>140</v>
      </c>
      <c r="F49" s="15" t="s">
        <v>21</v>
      </c>
      <c r="L49" s="57">
        <v>3.5000000000000003E-2</v>
      </c>
      <c r="M49" s="57">
        <v>0.05</v>
      </c>
      <c r="N49" s="57">
        <v>4.4999999999999998E-2</v>
      </c>
      <c r="O49" s="57">
        <v>4.7E-2</v>
      </c>
      <c r="P49" s="57">
        <v>0.05</v>
      </c>
    </row>
    <row r="51" spans="4:16" x14ac:dyDescent="0.25">
      <c r="F51" s="97"/>
    </row>
    <row r="52" spans="4:16" x14ac:dyDescent="0.25">
      <c r="F52" s="97"/>
    </row>
    <row r="53" spans="4:16" x14ac:dyDescent="0.25">
      <c r="F53" s="97"/>
    </row>
    <row r="54" spans="4:16" x14ac:dyDescent="0.25">
      <c r="F54" s="97"/>
    </row>
    <row r="55" spans="4:16" x14ac:dyDescent="0.25">
      <c r="F55" s="97"/>
    </row>
    <row r="56" spans="4:16" x14ac:dyDescent="0.25">
      <c r="F56" s="97"/>
    </row>
    <row r="57" spans="4:16" x14ac:dyDescent="0.25">
      <c r="F57" s="97"/>
    </row>
    <row r="58" spans="4:16" x14ac:dyDescent="0.25">
      <c r="F58" s="97"/>
    </row>
    <row r="59" spans="4:16" x14ac:dyDescent="0.25">
      <c r="F59" s="97"/>
    </row>
    <row r="60" spans="4:16" x14ac:dyDescent="0.25">
      <c r="F60" s="97"/>
    </row>
    <row r="61" spans="4:16" x14ac:dyDescent="0.25">
      <c r="F61" s="97"/>
    </row>
    <row r="62" spans="4:16" x14ac:dyDescent="0.25">
      <c r="F62" s="97"/>
    </row>
    <row r="63" spans="4:16" x14ac:dyDescent="0.25">
      <c r="F63" s="97"/>
    </row>
    <row r="64" spans="4:16" x14ac:dyDescent="0.25">
      <c r="F64" s="97"/>
    </row>
    <row r="65" spans="6:6" x14ac:dyDescent="0.25">
      <c r="F65" s="97"/>
    </row>
    <row r="66" spans="6:6" x14ac:dyDescent="0.25">
      <c r="F66" s="97"/>
    </row>
    <row r="67" spans="6:6" x14ac:dyDescent="0.25">
      <c r="F67" s="97"/>
    </row>
    <row r="68" spans="6:6" x14ac:dyDescent="0.25">
      <c r="F68" s="97"/>
    </row>
    <row r="69" spans="6:6" x14ac:dyDescent="0.25">
      <c r="F69" s="97"/>
    </row>
    <row r="70" spans="6:6" x14ac:dyDescent="0.25">
      <c r="F70" s="97"/>
    </row>
    <row r="71" spans="6:6" x14ac:dyDescent="0.25">
      <c r="F71" s="97"/>
    </row>
    <row r="72" spans="6:6" x14ac:dyDescent="0.25">
      <c r="F72" s="97"/>
    </row>
    <row r="73" spans="6:6" x14ac:dyDescent="0.25">
      <c r="F73" s="97"/>
    </row>
    <row r="74" spans="6:6" x14ac:dyDescent="0.25">
      <c r="F74" s="97"/>
    </row>
    <row r="75" spans="6:6" x14ac:dyDescent="0.25">
      <c r="F75" s="97"/>
    </row>
    <row r="76" spans="6:6" x14ac:dyDescent="0.25">
      <c r="F76" s="97"/>
    </row>
    <row r="77" spans="6:6" x14ac:dyDescent="0.25">
      <c r="F77" s="97"/>
    </row>
    <row r="78" spans="6:6" x14ac:dyDescent="0.25">
      <c r="F78" s="97"/>
    </row>
    <row r="79" spans="6:6" x14ac:dyDescent="0.25">
      <c r="F79" s="97"/>
    </row>
    <row r="80" spans="6:6" x14ac:dyDescent="0.25">
      <c r="F80" s="97"/>
    </row>
    <row r="81" spans="6:6" x14ac:dyDescent="0.25">
      <c r="F81" s="97"/>
    </row>
    <row r="82" spans="6:6" x14ac:dyDescent="0.25">
      <c r="F82" s="97"/>
    </row>
    <row r="83" spans="6:6" x14ac:dyDescent="0.25">
      <c r="F83" s="97"/>
    </row>
    <row r="84" spans="6:6" x14ac:dyDescent="0.25">
      <c r="F84" s="97"/>
    </row>
    <row r="85" spans="6:6" x14ac:dyDescent="0.25">
      <c r="F85" s="97"/>
    </row>
    <row r="86" spans="6:6" x14ac:dyDescent="0.25">
      <c r="F86" s="97"/>
    </row>
    <row r="87" spans="6:6" x14ac:dyDescent="0.25">
      <c r="F87" s="97"/>
    </row>
    <row r="88" spans="6:6" x14ac:dyDescent="0.25">
      <c r="F88" s="97"/>
    </row>
    <row r="89" spans="6:6" x14ac:dyDescent="0.25">
      <c r="F89" s="97"/>
    </row>
    <row r="90" spans="6:6" x14ac:dyDescent="0.25">
      <c r="F90" s="97"/>
    </row>
    <row r="91" spans="6:6" x14ac:dyDescent="0.25">
      <c r="F91" s="97"/>
    </row>
    <row r="92" spans="6:6" x14ac:dyDescent="0.25">
      <c r="F92" s="97"/>
    </row>
    <row r="93" spans="6:6" x14ac:dyDescent="0.25">
      <c r="F93" s="97"/>
    </row>
    <row r="94" spans="6:6" x14ac:dyDescent="0.25">
      <c r="F94" s="97"/>
    </row>
    <row r="95" spans="6:6" x14ac:dyDescent="0.25">
      <c r="F95" s="97"/>
    </row>
    <row r="96" spans="6:6" x14ac:dyDescent="0.25">
      <c r="F96" s="97"/>
    </row>
    <row r="97" spans="6:6" x14ac:dyDescent="0.25">
      <c r="F97" s="97"/>
    </row>
    <row r="98" spans="6:6" x14ac:dyDescent="0.25">
      <c r="F98" s="97"/>
    </row>
    <row r="99" spans="6:6" x14ac:dyDescent="0.25">
      <c r="F99" s="97"/>
    </row>
    <row r="100" spans="6:6" x14ac:dyDescent="0.25">
      <c r="F100" s="97"/>
    </row>
    <row r="101" spans="6:6" x14ac:dyDescent="0.25">
      <c r="F101" s="97"/>
    </row>
    <row r="102" spans="6:6" x14ac:dyDescent="0.25">
      <c r="F102" s="97"/>
    </row>
    <row r="103" spans="6:6" x14ac:dyDescent="0.25">
      <c r="F103" s="97"/>
    </row>
    <row r="104" spans="6:6" x14ac:dyDescent="0.25">
      <c r="F104" s="97"/>
    </row>
    <row r="105" spans="6:6" x14ac:dyDescent="0.25">
      <c r="F105" s="97"/>
    </row>
    <row r="106" spans="6:6" x14ac:dyDescent="0.25">
      <c r="F106" s="97"/>
    </row>
    <row r="107" spans="6:6" x14ac:dyDescent="0.25">
      <c r="F107" s="97"/>
    </row>
    <row r="108" spans="6:6" x14ac:dyDescent="0.25">
      <c r="F108" s="97"/>
    </row>
    <row r="109" spans="6:6" x14ac:dyDescent="0.25">
      <c r="F109" s="97"/>
    </row>
    <row r="110" spans="6:6" x14ac:dyDescent="0.25">
      <c r="F110" s="97"/>
    </row>
    <row r="111" spans="6:6" x14ac:dyDescent="0.25">
      <c r="F111" s="97"/>
    </row>
    <row r="112" spans="6:6" x14ac:dyDescent="0.25">
      <c r="F112" s="97"/>
    </row>
    <row r="113" spans="6:6" x14ac:dyDescent="0.25">
      <c r="F113" s="97"/>
    </row>
    <row r="114" spans="6:6" x14ac:dyDescent="0.25">
      <c r="F114" s="97"/>
    </row>
    <row r="115" spans="6:6" x14ac:dyDescent="0.25">
      <c r="F115" s="97"/>
    </row>
    <row r="116" spans="6:6" x14ac:dyDescent="0.25">
      <c r="F116" s="97"/>
    </row>
    <row r="117" spans="6:6" x14ac:dyDescent="0.25">
      <c r="F117" s="97"/>
    </row>
    <row r="118" spans="6:6" x14ac:dyDescent="0.25">
      <c r="F118" s="97"/>
    </row>
    <row r="119" spans="6:6" x14ac:dyDescent="0.25">
      <c r="F119" s="97"/>
    </row>
    <row r="120" spans="6:6" x14ac:dyDescent="0.25">
      <c r="F120" s="97"/>
    </row>
    <row r="121" spans="6:6" x14ac:dyDescent="0.25">
      <c r="F121" s="97"/>
    </row>
    <row r="122" spans="6:6" x14ac:dyDescent="0.25">
      <c r="F122" s="97"/>
    </row>
    <row r="123" spans="6:6" x14ac:dyDescent="0.25">
      <c r="F123" s="97"/>
    </row>
    <row r="124" spans="6:6" x14ac:dyDescent="0.25">
      <c r="F124" s="97"/>
    </row>
    <row r="125" spans="6:6" x14ac:dyDescent="0.25">
      <c r="F125" s="97"/>
    </row>
    <row r="126" spans="6:6" x14ac:dyDescent="0.25">
      <c r="F126" s="97"/>
    </row>
    <row r="127" spans="6:6" x14ac:dyDescent="0.25">
      <c r="F127" s="97"/>
    </row>
    <row r="128" spans="6:6" x14ac:dyDescent="0.25">
      <c r="F128" s="97"/>
    </row>
    <row r="129" spans="6:6" x14ac:dyDescent="0.25">
      <c r="F129" s="97"/>
    </row>
    <row r="130" spans="6:6" x14ac:dyDescent="0.25">
      <c r="F130" s="97"/>
    </row>
    <row r="131" spans="6:6" x14ac:dyDescent="0.25">
      <c r="F131" s="97"/>
    </row>
    <row r="132" spans="6:6" x14ac:dyDescent="0.25">
      <c r="F132" s="97"/>
    </row>
    <row r="133" spans="6:6" x14ac:dyDescent="0.25">
      <c r="F133" s="97"/>
    </row>
    <row r="134" spans="6:6" x14ac:dyDescent="0.25">
      <c r="F134" s="97"/>
    </row>
    <row r="135" spans="6:6" x14ac:dyDescent="0.25">
      <c r="F135" s="97"/>
    </row>
    <row r="136" spans="6:6" x14ac:dyDescent="0.25">
      <c r="F136" s="97"/>
    </row>
    <row r="137" spans="6:6" x14ac:dyDescent="0.25">
      <c r="F137" s="97"/>
    </row>
    <row r="138" spans="6:6" x14ac:dyDescent="0.25">
      <c r="F138" s="97"/>
    </row>
    <row r="139" spans="6:6" x14ac:dyDescent="0.25">
      <c r="F139" s="97"/>
    </row>
    <row r="141" spans="6:6" x14ac:dyDescent="0.25">
      <c r="F141" s="97"/>
    </row>
    <row r="142" spans="6:6" x14ac:dyDescent="0.25">
      <c r="F142" s="97"/>
    </row>
    <row r="143" spans="6:6" x14ac:dyDescent="0.25">
      <c r="F143" s="97"/>
    </row>
    <row r="144" spans="6:6" x14ac:dyDescent="0.25">
      <c r="F144" s="97"/>
    </row>
    <row r="145" spans="6:6" x14ac:dyDescent="0.25">
      <c r="F145" s="97"/>
    </row>
    <row r="146" spans="6:6" x14ac:dyDescent="0.25">
      <c r="F146" s="97"/>
    </row>
    <row r="147" spans="6:6" x14ac:dyDescent="0.25">
      <c r="F147" s="97"/>
    </row>
    <row r="148" spans="6:6" x14ac:dyDescent="0.25">
      <c r="F148" s="97"/>
    </row>
    <row r="149" spans="6:6" x14ac:dyDescent="0.25">
      <c r="F149" s="97"/>
    </row>
    <row r="150" spans="6:6" x14ac:dyDescent="0.25">
      <c r="F150" s="97"/>
    </row>
    <row r="151" spans="6:6" x14ac:dyDescent="0.25">
      <c r="F151" s="97"/>
    </row>
    <row r="152" spans="6:6" x14ac:dyDescent="0.25">
      <c r="F152" s="97"/>
    </row>
  </sheetData>
  <mergeCells count="2">
    <mergeCell ref="I3:J3"/>
    <mergeCell ref="K3:L3"/>
  </mergeCells>
  <pageMargins left="0.7" right="0.7" top="0.75" bottom="0.75" header="0.3" footer="0.3"/>
  <pageSetup fitToHeight="0" orientation="landscape" r:id="rId1"/>
  <headerFooter>
    <oddFooter>&amp;LPrinted on: &amp;D at &amp;T&amp;C&amp;A&amp;R&amp;P of &amp;N</oddFooter>
  </headerFooter>
  <rowBreaks count="1" manualBreakCount="1">
    <brk id="32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4</xdr:col>
                    <xdr:colOff>95098</xdr:colOff>
                    <xdr:row>7</xdr:row>
                    <xdr:rowOff>168250</xdr:rowOff>
                  </from>
                  <to>
                    <xdr:col>6</xdr:col>
                    <xdr:colOff>219456</xdr:colOff>
                    <xdr:row>9</xdr:row>
                    <xdr:rowOff>73152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6A8E-9681-4C74-85E9-30DC02277712}">
  <sheetPr>
    <outlinePr summaryBelow="0" summaryRight="0"/>
    <pageSetUpPr autoPageBreaks="0" fitToPage="1"/>
  </sheetPr>
  <dimension ref="A1:P344"/>
  <sheetViews>
    <sheetView showGridLines="0" zoomScale="85" zoomScaleNormal="85" zoomScaleSheetLayoutView="70" workbookViewId="0">
      <pane ySplit="6" topLeftCell="A7" activePane="bottomLeft" state="frozen"/>
      <selection activeCell="F132" sqref="F132"/>
      <selection pane="bottomLeft" activeCell="A7" sqref="A7"/>
    </sheetView>
  </sheetViews>
  <sheetFormatPr defaultRowHeight="13.85" x14ac:dyDescent="0.25"/>
  <cols>
    <col min="1" max="3" width="1.26953125" customWidth="1"/>
    <col min="4" max="4" width="46.54296875" bestFit="1" customWidth="1"/>
    <col min="5" max="5" width="1.7265625" customWidth="1"/>
    <col min="6" max="6" width="8.36328125" bestFit="1" customWidth="1"/>
    <col min="7" max="7" width="5.54296875" bestFit="1" customWidth="1"/>
    <col min="8" max="8" width="2.08984375" customWidth="1"/>
    <col min="9" max="10" width="11" customWidth="1"/>
    <col min="11" max="11" width="12.54296875" bestFit="1" customWidth="1"/>
    <col min="12" max="12" width="12.36328125" bestFit="1" customWidth="1"/>
    <col min="13" max="16" width="11.36328125" bestFit="1" customWidth="1"/>
  </cols>
  <sheetData>
    <row r="1" spans="1:16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7.850000000000001" x14ac:dyDescent="0.35">
      <c r="A2" s="40"/>
      <c r="B2" s="41" t="str">
        <f>Cover!$C$7</f>
        <v>Nudu Noodles</v>
      </c>
      <c r="C2" s="40"/>
      <c r="D2" s="40"/>
      <c r="E2" s="40"/>
      <c r="F2" s="40"/>
      <c r="G2" s="40"/>
      <c r="H2" s="40"/>
      <c r="I2" s="44" t="str">
        <f>"Financial Forecast "&amp;$L$6&amp;" to "&amp;$P$6</f>
        <v>Financial Forecast 2022 to 2026</v>
      </c>
      <c r="J2" s="44"/>
      <c r="K2" s="44"/>
      <c r="L2" s="44"/>
      <c r="M2" s="40"/>
      <c r="N2" s="40"/>
      <c r="O2" s="40"/>
      <c r="P2" s="40"/>
    </row>
    <row r="3" spans="1:16" x14ac:dyDescent="0.25">
      <c r="A3" s="40"/>
      <c r="B3" s="42" t="s">
        <v>224</v>
      </c>
      <c r="C3" s="40"/>
      <c r="D3" s="40"/>
      <c r="E3" s="40"/>
      <c r="F3" s="40"/>
      <c r="G3" s="40"/>
      <c r="H3" s="40"/>
      <c r="I3" s="126" t="str">
        <f ca="1">"BS Check: "&amp;IF(Model!F115=0,"OK","ERROR")</f>
        <v>BS Check: OK</v>
      </c>
      <c r="J3" s="127"/>
      <c r="K3" s="126" t="str">
        <f>Scenarioused</f>
        <v>Scenario: Base Case</v>
      </c>
      <c r="L3" s="127"/>
      <c r="M3" s="40"/>
      <c r="N3" s="40"/>
      <c r="O3" s="40"/>
      <c r="P3" s="40"/>
    </row>
    <row r="5" spans="1:16" x14ac:dyDescent="0.25">
      <c r="F5" s="92"/>
      <c r="G5" s="92"/>
      <c r="H5" s="92"/>
      <c r="I5" s="93" t="s">
        <v>75</v>
      </c>
      <c r="J5" s="93" t="s">
        <v>75</v>
      </c>
      <c r="K5" s="93" t="s">
        <v>75</v>
      </c>
      <c r="L5" s="93" t="s">
        <v>76</v>
      </c>
      <c r="M5" s="93" t="s">
        <v>76</v>
      </c>
      <c r="N5" s="93" t="s">
        <v>76</v>
      </c>
      <c r="O5" s="93" t="s">
        <v>76</v>
      </c>
      <c r="P5" s="93" t="s">
        <v>76</v>
      </c>
    </row>
    <row r="6" spans="1:16" x14ac:dyDescent="0.25">
      <c r="B6" s="39"/>
      <c r="C6" s="39"/>
      <c r="D6" s="39"/>
      <c r="E6" s="39"/>
      <c r="F6" s="94" t="s">
        <v>85</v>
      </c>
      <c r="G6" s="94" t="s">
        <v>81</v>
      </c>
      <c r="H6" s="94"/>
      <c r="I6" s="95">
        <f>J6-1</f>
        <v>2019</v>
      </c>
      <c r="J6" s="95">
        <f>K6-1</f>
        <v>2020</v>
      </c>
      <c r="K6" s="95">
        <f>Cover!$D$12</f>
        <v>2021</v>
      </c>
      <c r="L6" s="96">
        <f>K6+1</f>
        <v>2022</v>
      </c>
      <c r="M6" s="96">
        <f t="shared" ref="M6:P6" si="0">L6+1</f>
        <v>2023</v>
      </c>
      <c r="N6" s="96">
        <f t="shared" si="0"/>
        <v>2024</v>
      </c>
      <c r="O6" s="96">
        <f t="shared" si="0"/>
        <v>2025</v>
      </c>
      <c r="P6" s="96">
        <f t="shared" si="0"/>
        <v>2026</v>
      </c>
    </row>
    <row r="7" spans="1:16" x14ac:dyDescent="0.25">
      <c r="B7" s="50"/>
      <c r="C7" s="50"/>
      <c r="D7" s="50"/>
      <c r="E7" s="50"/>
      <c r="F7" s="107"/>
      <c r="G7" s="107"/>
      <c r="H7" s="107"/>
      <c r="I7" s="108"/>
      <c r="J7" s="108"/>
      <c r="K7" s="108"/>
      <c r="L7" s="109"/>
      <c r="M7" s="109"/>
      <c r="N7" s="109"/>
      <c r="O7" s="109"/>
      <c r="P7" s="109"/>
    </row>
    <row r="8" spans="1:16" ht="16.149999999999999" thickBot="1" x14ac:dyDescent="0.35">
      <c r="A8" s="110" t="s">
        <v>125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</row>
    <row r="10" spans="1:16" ht="16.149999999999999" thickBot="1" x14ac:dyDescent="0.35">
      <c r="B10" s="48" t="s">
        <v>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2" spans="1:16" x14ac:dyDescent="0.25">
      <c r="D12" t="str">
        <f>'Historical FS'!D13</f>
        <v>Revenue</v>
      </c>
      <c r="F12" s="15" t="str">
        <f>'Historical FS'!E13</f>
        <v>[$'m]</v>
      </c>
      <c r="G12" s="97"/>
      <c r="I12" s="55">
        <f>'Historical FS'!G13</f>
        <v>520</v>
      </c>
      <c r="J12" s="55">
        <f>'Historical FS'!H13</f>
        <v>515.5</v>
      </c>
      <c r="K12" s="55">
        <f>'Historical FS'!I13</f>
        <v>532</v>
      </c>
      <c r="L12">
        <f>L157</f>
        <v>559.49112500000001</v>
      </c>
      <c r="M12">
        <f t="shared" ref="M12:P12" si="1">M157</f>
        <v>652.44488516624995</v>
      </c>
      <c r="N12">
        <f t="shared" si="1"/>
        <v>678.17707496446656</v>
      </c>
      <c r="O12">
        <f t="shared" si="1"/>
        <v>682.19360963006238</v>
      </c>
      <c r="P12">
        <f t="shared" si="1"/>
        <v>734.28791854435747</v>
      </c>
    </row>
    <row r="13" spans="1:16" x14ac:dyDescent="0.25">
      <c r="F13" s="15"/>
      <c r="G13" s="97"/>
    </row>
    <row r="14" spans="1:16" x14ac:dyDescent="0.25">
      <c r="D14" t="str">
        <f>'Historical FS'!D15</f>
        <v>Cost of sales</v>
      </c>
      <c r="F14" s="15"/>
      <c r="G14" s="97"/>
      <c r="I14" s="55">
        <f>'Historical FS'!G15</f>
        <v>164.13000000000002</v>
      </c>
      <c r="J14" s="55">
        <f>'Historical FS'!H15</f>
        <v>184.5</v>
      </c>
      <c r="K14" s="55">
        <f>'Historical FS'!I15</f>
        <v>196.88</v>
      </c>
      <c r="L14">
        <f t="shared" ref="L14:P14" si="2">L191</f>
        <v>205.76903333333331</v>
      </c>
      <c r="M14">
        <f t="shared" si="2"/>
        <v>212.97094949999996</v>
      </c>
      <c r="N14">
        <f t="shared" si="2"/>
        <v>219.360077985</v>
      </c>
      <c r="O14">
        <f t="shared" si="2"/>
        <v>226.37960048052003</v>
      </c>
      <c r="P14">
        <f t="shared" si="2"/>
        <v>234.30288649733819</v>
      </c>
    </row>
    <row r="15" spans="1:16" x14ac:dyDescent="0.25">
      <c r="D15" t="str">
        <f>'Historical FS'!D16</f>
        <v>SG&amp;A</v>
      </c>
      <c r="F15" s="15" t="str">
        <f>'Historical FS'!E16</f>
        <v>[$'m]</v>
      </c>
      <c r="G15" s="97"/>
      <c r="I15" s="65">
        <f>'Historical FS'!G16</f>
        <v>103.88</v>
      </c>
      <c r="J15" s="65">
        <f>'Historical FS'!H16</f>
        <v>108.94000000000001</v>
      </c>
      <c r="K15" s="65">
        <f>'Historical FS'!I16</f>
        <v>114.58</v>
      </c>
      <c r="L15">
        <f>L193</f>
        <v>125.2</v>
      </c>
      <c r="M15">
        <f t="shared" ref="M15:P15" si="3">M193</f>
        <v>129.58199999999999</v>
      </c>
      <c r="N15">
        <f t="shared" si="3"/>
        <v>133.46946</v>
      </c>
      <c r="O15">
        <f t="shared" si="3"/>
        <v>137.74048271999999</v>
      </c>
      <c r="P15">
        <f t="shared" si="3"/>
        <v>142.56139961519997</v>
      </c>
    </row>
    <row r="16" spans="1:16" x14ac:dyDescent="0.25">
      <c r="D16" s="1" t="str">
        <f>'Historical FS'!D17</f>
        <v>Total costs</v>
      </c>
      <c r="F16" s="15" t="str">
        <f>'Historical FS'!E17</f>
        <v>[$'m]</v>
      </c>
      <c r="G16" s="97"/>
      <c r="I16" s="16">
        <f>SUM(I14:I15)</f>
        <v>268.01</v>
      </c>
      <c r="J16" s="16">
        <f>SUM(J14:J15)</f>
        <v>293.44</v>
      </c>
      <c r="K16" s="16">
        <f>SUM(K14:K15)</f>
        <v>311.45999999999998</v>
      </c>
      <c r="L16" s="16">
        <f>SUM(L14:L15)</f>
        <v>330.9690333333333</v>
      </c>
      <c r="M16" s="16">
        <f t="shared" ref="M16:P16" si="4">SUM(M14:M15)</f>
        <v>342.55294949999995</v>
      </c>
      <c r="N16" s="16">
        <f t="shared" si="4"/>
        <v>352.829537985</v>
      </c>
      <c r="O16" s="16">
        <f t="shared" si="4"/>
        <v>364.12008320052001</v>
      </c>
      <c r="P16" s="16">
        <f t="shared" si="4"/>
        <v>376.86428611253814</v>
      </c>
    </row>
    <row r="17" spans="4:16" x14ac:dyDescent="0.25">
      <c r="F17" s="15"/>
      <c r="G17" s="97"/>
    </row>
    <row r="18" spans="4:16" x14ac:dyDescent="0.25">
      <c r="D18" t="str">
        <f>'Historical FS'!D19</f>
        <v>Cost adjustments -Gain/(loss)</v>
      </c>
      <c r="F18" s="15" t="str">
        <f>'Historical FS'!E19</f>
        <v>[$'m]</v>
      </c>
      <c r="G18" s="97"/>
      <c r="I18" s="55">
        <f>'Historical FS'!G19</f>
        <v>-7</v>
      </c>
      <c r="J18" s="55">
        <f>'Historical FS'!H19</f>
        <v>-4.2</v>
      </c>
      <c r="K18" s="55">
        <f>'Historical FS'!I19</f>
        <v>30</v>
      </c>
      <c r="L18">
        <f>Input!L133</f>
        <v>0</v>
      </c>
      <c r="M18">
        <f>Input!M133</f>
        <v>0</v>
      </c>
      <c r="N18">
        <f>Input!N133</f>
        <v>0</v>
      </c>
      <c r="O18">
        <f>Input!O133</f>
        <v>0</v>
      </c>
      <c r="P18">
        <f>Input!P133</f>
        <v>0</v>
      </c>
    </row>
    <row r="19" spans="4:16" x14ac:dyDescent="0.25">
      <c r="D19" s="1" t="str">
        <f>'Historical FS'!D20</f>
        <v>EBITDA</v>
      </c>
      <c r="F19" s="15" t="str">
        <f>'Historical FS'!E20</f>
        <v>[$'m]</v>
      </c>
      <c r="G19" s="97"/>
      <c r="I19" s="16">
        <f>I12-I16+I18</f>
        <v>244.99</v>
      </c>
      <c r="J19" s="16">
        <f>J12-J16+J18</f>
        <v>217.86</v>
      </c>
      <c r="K19" s="16">
        <f>K12-K16+K18</f>
        <v>250.54000000000002</v>
      </c>
      <c r="L19" s="111">
        <f>L12-L16+L18</f>
        <v>228.52209166666671</v>
      </c>
      <c r="M19" s="111">
        <f t="shared" ref="M19:P19" si="5">M12-M16+M18</f>
        <v>309.89193566624999</v>
      </c>
      <c r="N19" s="111">
        <f t="shared" si="5"/>
        <v>325.34753697946655</v>
      </c>
      <c r="O19" s="111">
        <f t="shared" si="5"/>
        <v>318.07352642954237</v>
      </c>
      <c r="P19" s="111">
        <f t="shared" si="5"/>
        <v>357.42363243181933</v>
      </c>
    </row>
    <row r="20" spans="4:16" x14ac:dyDescent="0.25">
      <c r="F20" s="15"/>
      <c r="G20" s="97"/>
    </row>
    <row r="21" spans="4:16" x14ac:dyDescent="0.25">
      <c r="D21" t="str">
        <f>'Historical FS'!D22</f>
        <v>Depreciation</v>
      </c>
      <c r="F21" s="15" t="str">
        <f>'Historical FS'!E22</f>
        <v>[$'m]</v>
      </c>
      <c r="G21" s="97"/>
      <c r="I21" s="65">
        <f>'Historical FS'!G22</f>
        <v>5.0999999999999996</v>
      </c>
      <c r="J21" s="65">
        <f>'Historical FS'!H22</f>
        <v>5.5733333333333333</v>
      </c>
      <c r="K21" s="65">
        <f>'Historical FS'!I22</f>
        <v>5.88</v>
      </c>
      <c r="L21">
        <f>L215</f>
        <v>6.0773333333333337</v>
      </c>
      <c r="M21">
        <f t="shared" ref="M21:P21" si="6">M215</f>
        <v>26.910666666666664</v>
      </c>
      <c r="N21">
        <f t="shared" si="6"/>
        <v>51.910666666666664</v>
      </c>
      <c r="O21">
        <f t="shared" si="6"/>
        <v>76.910666666666657</v>
      </c>
      <c r="P21">
        <f t="shared" si="6"/>
        <v>96.09399999999998</v>
      </c>
    </row>
    <row r="22" spans="4:16" x14ac:dyDescent="0.25">
      <c r="D22" s="1" t="str">
        <f>'Historical FS'!D23</f>
        <v>EBIT</v>
      </c>
      <c r="F22" s="15" t="str">
        <f>'Historical FS'!E23</f>
        <v>[$'m]</v>
      </c>
      <c r="I22" s="111">
        <f>I19-I21</f>
        <v>239.89000000000001</v>
      </c>
      <c r="J22" s="111">
        <f>J19-J21</f>
        <v>212.28666666666669</v>
      </c>
      <c r="K22" s="111">
        <f>K19-K21</f>
        <v>244.66000000000003</v>
      </c>
      <c r="L22" s="111">
        <f>L19-L21</f>
        <v>222.44475833333337</v>
      </c>
      <c r="M22" s="111">
        <f t="shared" ref="M22:P22" si="7">M19-M21</f>
        <v>282.98126899958334</v>
      </c>
      <c r="N22" s="111">
        <f t="shared" si="7"/>
        <v>273.4368703127999</v>
      </c>
      <c r="O22" s="111">
        <f t="shared" si="7"/>
        <v>241.16285976287571</v>
      </c>
      <c r="P22" s="111">
        <f t="shared" si="7"/>
        <v>261.32963243181933</v>
      </c>
    </row>
    <row r="23" spans="4:16" x14ac:dyDescent="0.25">
      <c r="F23" s="15"/>
    </row>
    <row r="24" spans="4:16" x14ac:dyDescent="0.25">
      <c r="D24" t="str">
        <f>'Historical FS'!D25</f>
        <v>Cost adjustments -Gain/(loss)</v>
      </c>
      <c r="F24" s="15" t="str">
        <f>'Historical FS'!E25</f>
        <v>[$'m]</v>
      </c>
      <c r="I24" s="55">
        <f>'Historical FS'!G25</f>
        <v>-58</v>
      </c>
      <c r="J24" s="55">
        <f>'Historical FS'!H25</f>
        <v>-61.95</v>
      </c>
      <c r="K24" s="55">
        <f>'Historical FS'!I25</f>
        <v>-52.9</v>
      </c>
      <c r="L24">
        <f>Input!L134</f>
        <v>0</v>
      </c>
      <c r="M24">
        <f>Input!M134</f>
        <v>0</v>
      </c>
      <c r="N24">
        <f>Input!N134</f>
        <v>0</v>
      </c>
      <c r="O24">
        <f>Input!O134</f>
        <v>0</v>
      </c>
      <c r="P24">
        <f>Input!P134</f>
        <v>0</v>
      </c>
    </row>
    <row r="25" spans="4:16" x14ac:dyDescent="0.25">
      <c r="D25" t="str">
        <f>'Historical FS'!D26</f>
        <v>Net Interest Expense</v>
      </c>
      <c r="F25" s="15" t="str">
        <f>'Historical FS'!E26</f>
        <v>[$'m]</v>
      </c>
      <c r="I25" s="55">
        <f>'Historical FS'!G26</f>
        <v>62</v>
      </c>
      <c r="J25" s="55">
        <f>'Historical FS'!H26</f>
        <v>56.6</v>
      </c>
      <c r="K25" s="55">
        <f>'Historical FS'!I26</f>
        <v>59.1</v>
      </c>
      <c r="L25">
        <f t="shared" ref="L25:P25" ca="1" si="8">L344</f>
        <v>3.8487202670673466</v>
      </c>
      <c r="M25">
        <f t="shared" ca="1" si="8"/>
        <v>4.1385551395058169</v>
      </c>
      <c r="N25">
        <f t="shared" ca="1" si="8"/>
        <v>4.8331391750845771</v>
      </c>
      <c r="O25">
        <f t="shared" ca="1" si="8"/>
        <v>12.375578012092509</v>
      </c>
      <c r="P25">
        <f t="shared" ca="1" si="8"/>
        <v>14.827288759175381</v>
      </c>
    </row>
    <row r="26" spans="4:16" x14ac:dyDescent="0.25">
      <c r="D26" s="1" t="str">
        <f>'Historical FS'!D27</f>
        <v>EBT</v>
      </c>
      <c r="F26" s="15" t="str">
        <f>'Historical FS'!E27</f>
        <v>[$'m]</v>
      </c>
      <c r="I26" s="111">
        <f>I22+I24-I25</f>
        <v>119.89000000000001</v>
      </c>
      <c r="J26" s="111">
        <f>J22+J24-J25</f>
        <v>93.736666666666707</v>
      </c>
      <c r="K26" s="111">
        <f>K22+K24-K25</f>
        <v>132.66000000000003</v>
      </c>
      <c r="L26" s="111">
        <f t="shared" ref="L26:P26" ca="1" si="9">L22+L24-L25</f>
        <v>218.59603806626603</v>
      </c>
      <c r="M26" s="111">
        <f t="shared" ca="1" si="9"/>
        <v>278.84271386007754</v>
      </c>
      <c r="N26" s="111">
        <f t="shared" ca="1" si="9"/>
        <v>268.60373113771533</v>
      </c>
      <c r="O26" s="111">
        <f t="shared" ca="1" si="9"/>
        <v>228.78728175078319</v>
      </c>
      <c r="P26" s="111">
        <f t="shared" ca="1" si="9"/>
        <v>246.50234367264395</v>
      </c>
    </row>
    <row r="27" spans="4:16" x14ac:dyDescent="0.25">
      <c r="F27" s="15"/>
    </row>
    <row r="28" spans="4:16" x14ac:dyDescent="0.25">
      <c r="D28" t="str">
        <f>'Historical FS'!D29</f>
        <v>Current Taxes</v>
      </c>
      <c r="F28" s="15" t="str">
        <f>'Historical FS'!E29</f>
        <v>[$'m]</v>
      </c>
      <c r="I28" s="55">
        <f>'Historical FS'!G29</f>
        <v>40.5</v>
      </c>
      <c r="J28" s="55">
        <f>'Historical FS'!H29</f>
        <v>22.7</v>
      </c>
      <c r="K28" s="55">
        <f>'Historical FS'!I29</f>
        <v>24.8</v>
      </c>
      <c r="L28">
        <f ca="1">L227</f>
        <v>66.008613323193103</v>
      </c>
      <c r="M28">
        <f t="shared" ref="M28:P29" ca="1" si="10">M227</f>
        <v>87.094949851027138</v>
      </c>
      <c r="N28">
        <f t="shared" ca="1" si="10"/>
        <v>83.511305898200362</v>
      </c>
      <c r="O28">
        <f t="shared" ca="1" si="10"/>
        <v>69.575548612774114</v>
      </c>
      <c r="P28">
        <f t="shared" ca="1" si="10"/>
        <v>75.775820285425382</v>
      </c>
    </row>
    <row r="29" spans="4:16" x14ac:dyDescent="0.25">
      <c r="D29" t="str">
        <f>'Historical FS'!D30</f>
        <v>Deferred Income Taxes</v>
      </c>
      <c r="F29" s="15" t="str">
        <f>'Historical FS'!E30</f>
        <v>[$'m]</v>
      </c>
      <c r="I29" s="55">
        <f>'Historical FS'!G30</f>
        <v>16.899999999999999</v>
      </c>
      <c r="J29" s="55">
        <f>'Historical FS'!H30</f>
        <v>31.7</v>
      </c>
      <c r="K29" s="55">
        <f>'Historical FS'!I30</f>
        <v>24</v>
      </c>
      <c r="L29">
        <f>L228</f>
        <v>10.5</v>
      </c>
      <c r="M29">
        <f t="shared" si="10"/>
        <v>10.5</v>
      </c>
      <c r="N29">
        <f t="shared" si="10"/>
        <v>10.5</v>
      </c>
      <c r="O29">
        <f t="shared" si="10"/>
        <v>10.5</v>
      </c>
      <c r="P29">
        <f t="shared" si="10"/>
        <v>10.5</v>
      </c>
    </row>
    <row r="30" spans="4:16" x14ac:dyDescent="0.25">
      <c r="D30" s="1" t="str">
        <f>'Historical FS'!D31</f>
        <v>Total Income Taxes</v>
      </c>
      <c r="F30" s="15" t="str">
        <f>'Historical FS'!E31</f>
        <v>[$'m]</v>
      </c>
      <c r="I30" s="16">
        <f>SUM(I28:I29)</f>
        <v>57.4</v>
      </c>
      <c r="J30" s="16">
        <f>SUM(J28:J29)</f>
        <v>54.4</v>
      </c>
      <c r="K30" s="16">
        <f>SUM(K28:K29)</f>
        <v>48.8</v>
      </c>
      <c r="L30" s="111">
        <f ca="1">SUM(L28:L29)</f>
        <v>76.508613323193103</v>
      </c>
      <c r="M30" s="111">
        <f t="shared" ref="M30:P30" ca="1" si="11">SUM(M28:M29)</f>
        <v>97.594949851027138</v>
      </c>
      <c r="N30" s="111">
        <f t="shared" ca="1" si="11"/>
        <v>94.011305898200362</v>
      </c>
      <c r="O30" s="111">
        <f t="shared" ca="1" si="11"/>
        <v>80.075548612774114</v>
      </c>
      <c r="P30" s="111">
        <f t="shared" ca="1" si="11"/>
        <v>86.275820285425382</v>
      </c>
    </row>
    <row r="31" spans="4:16" x14ac:dyDescent="0.25">
      <c r="F31" s="15"/>
    </row>
    <row r="32" spans="4:16" ht="14.4" thickBot="1" x14ac:dyDescent="0.3">
      <c r="D32" s="1" t="str">
        <f>'Historical FS'!D33</f>
        <v>Net Income</v>
      </c>
      <c r="F32" s="15" t="str">
        <f>'Historical FS'!E33</f>
        <v>[$'m]</v>
      </c>
      <c r="I32" s="114">
        <f>I26-I30</f>
        <v>62.490000000000016</v>
      </c>
      <c r="J32" s="114">
        <f t="shared" ref="J32:P32" si="12">J26-J30</f>
        <v>39.336666666666709</v>
      </c>
      <c r="K32" s="114">
        <f t="shared" si="12"/>
        <v>83.860000000000028</v>
      </c>
      <c r="L32" s="114">
        <f ca="1">L26-L30</f>
        <v>142.08742474307292</v>
      </c>
      <c r="M32" s="114">
        <f t="shared" ca="1" si="12"/>
        <v>181.2477640090504</v>
      </c>
      <c r="N32" s="114">
        <f t="shared" ca="1" si="12"/>
        <v>174.59242523951497</v>
      </c>
      <c r="O32" s="114">
        <f t="shared" ca="1" si="12"/>
        <v>148.71173313800909</v>
      </c>
      <c r="P32" s="114">
        <f t="shared" ca="1" si="12"/>
        <v>160.22652338721855</v>
      </c>
    </row>
    <row r="33" spans="2:16" ht="14.4" thickTop="1" x14ac:dyDescent="0.25">
      <c r="F33" s="15"/>
    </row>
    <row r="34" spans="2:16" x14ac:dyDescent="0.25">
      <c r="D34" t="str">
        <f>'Historical FS'!D35</f>
        <v>Preferred dividend</v>
      </c>
      <c r="F34" s="15" t="str">
        <f>'Historical FS'!E35</f>
        <v>[$'m]</v>
      </c>
      <c r="I34" s="65">
        <f>'Historical FS'!G35</f>
        <v>0.5</v>
      </c>
      <c r="J34" s="65">
        <f>'Historical FS'!H35</f>
        <v>0.5</v>
      </c>
      <c r="K34" s="65">
        <f>'Historical FS'!I35</f>
        <v>0.5</v>
      </c>
      <c r="L34">
        <f>L270</f>
        <v>8.199999999999999E-2</v>
      </c>
      <c r="M34">
        <f t="shared" ref="M34:P34" si="13">M270</f>
        <v>7.2069999999999999</v>
      </c>
      <c r="N34">
        <f t="shared" si="13"/>
        <v>7.2069999999999999</v>
      </c>
      <c r="O34">
        <f t="shared" si="13"/>
        <v>7.2069999999999999</v>
      </c>
      <c r="P34">
        <f t="shared" si="13"/>
        <v>7.2069999999999999</v>
      </c>
    </row>
    <row r="35" spans="2:16" ht="14.4" thickBot="1" x14ac:dyDescent="0.3">
      <c r="D35" s="1" t="str">
        <f>'Historical FS'!D36</f>
        <v>Net Income to Common</v>
      </c>
      <c r="F35" s="15" t="str">
        <f>'Historical FS'!E36</f>
        <v>[$'m]</v>
      </c>
      <c r="I35" s="114">
        <f>I32-I34</f>
        <v>61.990000000000016</v>
      </c>
      <c r="J35" s="114">
        <f t="shared" ref="J35:P35" si="14">J32-J34</f>
        <v>38.836666666666709</v>
      </c>
      <c r="K35" s="114">
        <f t="shared" si="14"/>
        <v>83.360000000000028</v>
      </c>
      <c r="L35" s="114">
        <f t="shared" ca="1" si="14"/>
        <v>142.00542474307292</v>
      </c>
      <c r="M35" s="114">
        <f t="shared" ca="1" si="14"/>
        <v>174.04076400905041</v>
      </c>
      <c r="N35" s="114">
        <f t="shared" ca="1" si="14"/>
        <v>167.38542523951497</v>
      </c>
      <c r="O35" s="114">
        <f t="shared" ca="1" si="14"/>
        <v>141.5047331380091</v>
      </c>
      <c r="P35" s="114">
        <f t="shared" ca="1" si="14"/>
        <v>153.01952338721856</v>
      </c>
    </row>
    <row r="36" spans="2:16" ht="14.4" thickTop="1" x14ac:dyDescent="0.25">
      <c r="F36" s="15"/>
    </row>
    <row r="37" spans="2:16" x14ac:dyDescent="0.25">
      <c r="C37" s="78"/>
      <c r="D37" s="79" t="s">
        <v>221</v>
      </c>
      <c r="E37" s="79"/>
      <c r="F37" s="29" t="s">
        <v>21</v>
      </c>
      <c r="G37" s="79"/>
      <c r="H37" s="79"/>
      <c r="I37" s="80">
        <f>I19/I12</f>
        <v>0.47113461538461543</v>
      </c>
      <c r="J37" s="80">
        <f t="shared" ref="J37:P37" si="15">J19/J12</f>
        <v>0.42261881668283224</v>
      </c>
      <c r="K37" s="80">
        <f t="shared" si="15"/>
        <v>0.47093984962406021</v>
      </c>
      <c r="L37" s="80">
        <f t="shared" si="15"/>
        <v>0.40844632105052014</v>
      </c>
      <c r="M37" s="80">
        <f t="shared" si="15"/>
        <v>0.47497028900347071</v>
      </c>
      <c r="N37" s="80">
        <f t="shared" si="15"/>
        <v>0.47973832939798694</v>
      </c>
      <c r="O37" s="80">
        <f t="shared" si="15"/>
        <v>0.46625110810115356</v>
      </c>
      <c r="P37" s="81">
        <f t="shared" si="15"/>
        <v>0.4867622405396117</v>
      </c>
    </row>
    <row r="38" spans="2:16" x14ac:dyDescent="0.25">
      <c r="C38" s="70"/>
      <c r="D38" s="50" t="s">
        <v>203</v>
      </c>
      <c r="E38" s="50"/>
      <c r="F38" s="97"/>
      <c r="G38" s="50"/>
      <c r="H38" s="50"/>
      <c r="I38" s="50"/>
      <c r="J38" s="50"/>
      <c r="K38" s="50"/>
      <c r="L38" s="50"/>
      <c r="M38" s="50"/>
      <c r="N38" s="50"/>
      <c r="O38" s="50"/>
      <c r="P38" s="82"/>
    </row>
    <row r="39" spans="2:16" x14ac:dyDescent="0.25">
      <c r="C39" s="70"/>
      <c r="D39" s="50" t="s">
        <v>204</v>
      </c>
      <c r="E39" s="50"/>
      <c r="F39" s="15" t="s">
        <v>21</v>
      </c>
      <c r="G39" s="50"/>
      <c r="H39" s="50"/>
      <c r="I39" s="83">
        <f t="shared" ref="I39:P39" si="16">I32/I111</f>
        <v>0.59440456892827742</v>
      </c>
      <c r="J39" s="83">
        <f t="shared" si="16"/>
        <v>0.29074071747250546</v>
      </c>
      <c r="K39" s="83">
        <f t="shared" si="16"/>
        <v>0.36368732806691695</v>
      </c>
      <c r="L39" s="83">
        <f t="shared" ca="1" si="16"/>
        <v>0.39241265801955638</v>
      </c>
      <c r="M39" s="83">
        <f t="shared" ca="1" si="16"/>
        <v>0.30844523523993939</v>
      </c>
      <c r="N39" s="83">
        <f t="shared" ca="1" si="16"/>
        <v>0.25371038735620771</v>
      </c>
      <c r="O39" s="83">
        <f t="shared" ca="1" si="16"/>
        <v>0.18722718379742484</v>
      </c>
      <c r="P39" s="84">
        <f t="shared" ca="1" si="16"/>
        <v>0.16706802827429551</v>
      </c>
    </row>
    <row r="40" spans="2:16" x14ac:dyDescent="0.25">
      <c r="C40" s="70"/>
      <c r="D40" s="50" t="s">
        <v>205</v>
      </c>
      <c r="E40" s="50"/>
      <c r="F40" s="15" t="s">
        <v>21</v>
      </c>
      <c r="G40" s="50"/>
      <c r="H40" s="50"/>
      <c r="I40" s="83">
        <f t="shared" ref="I40:P40" si="17">I32/I12</f>
        <v>0.12017307692307695</v>
      </c>
      <c r="J40" s="83">
        <f t="shared" si="17"/>
        <v>7.6307791787908266E-2</v>
      </c>
      <c r="K40" s="83">
        <f t="shared" si="17"/>
        <v>0.15763157894736848</v>
      </c>
      <c r="L40" s="83">
        <f t="shared" ca="1" si="17"/>
        <v>0.25395831746763259</v>
      </c>
      <c r="M40" s="83">
        <f t="shared" ca="1" si="17"/>
        <v>0.27779781576932205</v>
      </c>
      <c r="N40" s="83">
        <f t="shared" ca="1" si="17"/>
        <v>0.25744371445859154</v>
      </c>
      <c r="O40" s="83">
        <f t="shared" ca="1" si="17"/>
        <v>0.217990510375276</v>
      </c>
      <c r="P40" s="84">
        <f t="shared" ca="1" si="17"/>
        <v>0.21820667253364248</v>
      </c>
    </row>
    <row r="41" spans="2:16" x14ac:dyDescent="0.25">
      <c r="C41" s="70"/>
      <c r="D41" s="50" t="s">
        <v>206</v>
      </c>
      <c r="E41" s="50"/>
      <c r="F41" s="30" t="s">
        <v>208</v>
      </c>
      <c r="G41" s="50"/>
      <c r="H41" s="50"/>
      <c r="I41" s="85">
        <f t="shared" ref="I41:P41" si="18">I12/I91</f>
        <v>2.2527035149756043</v>
      </c>
      <c r="J41" s="85">
        <f t="shared" si="18"/>
        <v>1.8727310618936102</v>
      </c>
      <c r="K41" s="85">
        <f t="shared" si="18"/>
        <v>1.4898232053126195</v>
      </c>
      <c r="L41" s="85">
        <f t="shared" ca="1" si="18"/>
        <v>1.1837084604655732</v>
      </c>
      <c r="M41" s="85">
        <f t="shared" ca="1" si="18"/>
        <v>0.82151119535955364</v>
      </c>
      <c r="N41" s="85">
        <f t="shared" ca="1" si="18"/>
        <v>0.74364546142936339</v>
      </c>
      <c r="O41" s="85">
        <f t="shared" ca="1" si="18"/>
        <v>0.49172519921110852</v>
      </c>
      <c r="P41" s="86">
        <f t="shared" ca="1" si="18"/>
        <v>0.5550311593206847</v>
      </c>
    </row>
    <row r="42" spans="2:16" x14ac:dyDescent="0.25">
      <c r="C42" s="71"/>
      <c r="D42" s="39" t="s">
        <v>207</v>
      </c>
      <c r="E42" s="39"/>
      <c r="F42" s="31" t="s">
        <v>208</v>
      </c>
      <c r="G42" s="39"/>
      <c r="H42" s="39"/>
      <c r="I42" s="87">
        <f>I91/I111</f>
        <v>2.1956894809225118</v>
      </c>
      <c r="J42" s="87">
        <f t="shared" ref="J42:P42" si="19">J91/J111</f>
        <v>2.0345180999092665</v>
      </c>
      <c r="K42" s="87">
        <f t="shared" si="19"/>
        <v>1.5486390601317925</v>
      </c>
      <c r="L42" s="87">
        <f t="shared" ca="1" si="19"/>
        <v>1.3053765753050928</v>
      </c>
      <c r="M42" s="87">
        <f t="shared" ca="1" si="19"/>
        <v>1.3515613153407386</v>
      </c>
      <c r="N42" s="87">
        <f t="shared" ca="1" si="19"/>
        <v>1.3252262316180006</v>
      </c>
      <c r="O42" s="87">
        <f t="shared" ca="1" si="19"/>
        <v>1.7466619187014778</v>
      </c>
      <c r="P42" s="88">
        <f t="shared" ca="1" si="19"/>
        <v>1.3794563268159785</v>
      </c>
    </row>
    <row r="43" spans="2:16" x14ac:dyDescent="0.25">
      <c r="F43" s="15"/>
    </row>
    <row r="44" spans="2:16" x14ac:dyDescent="0.25">
      <c r="F44" s="15"/>
    </row>
    <row r="45" spans="2:16" ht="16.149999999999999" thickBot="1" x14ac:dyDescent="0.35">
      <c r="B45" s="48" t="s">
        <v>144</v>
      </c>
      <c r="C45" s="14"/>
      <c r="D45" s="47"/>
      <c r="E45" s="47"/>
      <c r="F45" s="76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spans="2:16" x14ac:dyDescent="0.25">
      <c r="F46" s="15"/>
    </row>
    <row r="47" spans="2:16" x14ac:dyDescent="0.25">
      <c r="D47" s="1" t="str">
        <f>'Historical FS'!C44</f>
        <v>Operating Activities</v>
      </c>
      <c r="F47" s="15"/>
    </row>
    <row r="48" spans="2:16" x14ac:dyDescent="0.25">
      <c r="D48" t="str">
        <f>'Historical FS'!D45</f>
        <v>Net Income</v>
      </c>
      <c r="F48" s="15" t="s">
        <v>20</v>
      </c>
      <c r="I48" s="55">
        <f>'Historical FS'!G45</f>
        <v>62.490000000000016</v>
      </c>
      <c r="J48" s="55">
        <f>'Historical FS'!H45</f>
        <v>39.336666666666709</v>
      </c>
      <c r="K48" s="55">
        <f>'Historical FS'!I45</f>
        <v>83.860000000000028</v>
      </c>
      <c r="L48">
        <f ca="1">L32</f>
        <v>142.08742474307292</v>
      </c>
      <c r="M48">
        <f ca="1">M32</f>
        <v>181.2477640090504</v>
      </c>
      <c r="N48">
        <f ca="1">N32</f>
        <v>174.59242523951497</v>
      </c>
      <c r="O48">
        <f ca="1">O32</f>
        <v>148.71173313800909</v>
      </c>
      <c r="P48">
        <f ca="1">P32</f>
        <v>160.22652338721855</v>
      </c>
    </row>
    <row r="49" spans="4:16" x14ac:dyDescent="0.25">
      <c r="D49" t="str">
        <f>'Historical FS'!D46</f>
        <v>Depreciation</v>
      </c>
      <c r="F49" s="15" t="s">
        <v>20</v>
      </c>
      <c r="I49" s="55">
        <f>'Historical FS'!G46</f>
        <v>5.0999999999999996</v>
      </c>
      <c r="J49" s="55">
        <f>'Historical FS'!H46</f>
        <v>5.5733333333333333</v>
      </c>
      <c r="K49" s="55">
        <f>'Historical FS'!I46</f>
        <v>5.88</v>
      </c>
      <c r="L49">
        <f>L21</f>
        <v>6.0773333333333337</v>
      </c>
      <c r="M49">
        <f>M21</f>
        <v>26.910666666666664</v>
      </c>
      <c r="N49">
        <f>N21</f>
        <v>51.910666666666664</v>
      </c>
      <c r="O49">
        <f>O21</f>
        <v>76.910666666666657</v>
      </c>
      <c r="P49">
        <f>P21</f>
        <v>96.09399999999998</v>
      </c>
    </row>
    <row r="50" spans="4:16" x14ac:dyDescent="0.25">
      <c r="D50" t="str">
        <f>'Historical FS'!D47</f>
        <v>Deferred Income Taxes</v>
      </c>
      <c r="F50" s="15" t="s">
        <v>20</v>
      </c>
      <c r="I50" s="55">
        <f>'Historical FS'!G47</f>
        <v>1.1266666666666665</v>
      </c>
      <c r="J50" s="55">
        <f>'Historical FS'!H47</f>
        <v>2.1133333333333333</v>
      </c>
      <c r="K50" s="55">
        <f>'Historical FS'!I47</f>
        <v>1.6</v>
      </c>
      <c r="L50">
        <f>L29</f>
        <v>10.5</v>
      </c>
      <c r="M50">
        <f>M29</f>
        <v>10.5</v>
      </c>
      <c r="N50">
        <f>N29</f>
        <v>10.5</v>
      </c>
      <c r="O50">
        <f>O29</f>
        <v>10.5</v>
      </c>
      <c r="P50">
        <f>P29</f>
        <v>10.5</v>
      </c>
    </row>
    <row r="51" spans="4:16" x14ac:dyDescent="0.25">
      <c r="D51" t="str">
        <f>'Historical FS'!D48</f>
        <v>Changes in Working Capital</v>
      </c>
      <c r="F51" s="15" t="s">
        <v>20</v>
      </c>
      <c r="I51" s="55">
        <f>'Historical FS'!G48</f>
        <v>-7.9333333333333336</v>
      </c>
      <c r="J51" s="55">
        <f>'Historical FS'!H48</f>
        <v>-0.3</v>
      </c>
      <c r="K51" s="55">
        <f>'Historical FS'!I48</f>
        <v>-5.5866666666666678</v>
      </c>
      <c r="L51">
        <f>L259</f>
        <v>-1.3452151438356168</v>
      </c>
      <c r="M51">
        <f t="shared" ref="M51:P51" si="20">M259</f>
        <v>-9.0454519325626705</v>
      </c>
      <c r="N51">
        <f t="shared" si="20"/>
        <v>-1.8887439340099874</v>
      </c>
      <c r="O51">
        <f t="shared" si="20"/>
        <v>-0.15609840881482739</v>
      </c>
      <c r="P51">
        <f t="shared" si="20"/>
        <v>-4.6163840439078072</v>
      </c>
    </row>
    <row r="52" spans="4:16" x14ac:dyDescent="0.25">
      <c r="D52" t="str">
        <f>'Historical FS'!D49</f>
        <v>Other</v>
      </c>
      <c r="F52" s="15" t="s">
        <v>20</v>
      </c>
      <c r="I52" s="65">
        <f>'Historical FS'!G49</f>
        <v>10.793333333333333</v>
      </c>
      <c r="J52" s="65">
        <f>'Historical FS'!H49</f>
        <v>10.946666666666665</v>
      </c>
      <c r="K52" s="65">
        <f>'Historical FS'!I49</f>
        <v>16.14</v>
      </c>
      <c r="L52">
        <f>Input!L135</f>
        <v>0</v>
      </c>
      <c r="M52">
        <f>Input!M135</f>
        <v>0</v>
      </c>
      <c r="N52">
        <f>Input!N135</f>
        <v>0</v>
      </c>
      <c r="O52">
        <f>Input!O135</f>
        <v>0</v>
      </c>
      <c r="P52">
        <f>Input!P135</f>
        <v>0</v>
      </c>
    </row>
    <row r="53" spans="4:16" x14ac:dyDescent="0.25">
      <c r="D53" s="1" t="str">
        <f>'Historical FS'!D50</f>
        <v>Operating Cash Flow</v>
      </c>
      <c r="F53" s="15" t="s">
        <v>20</v>
      </c>
      <c r="I53" s="111">
        <f t="shared" ref="I53:K53" si="21">SUM(I48:I52)</f>
        <v>71.576666666666682</v>
      </c>
      <c r="J53" s="111">
        <f t="shared" si="21"/>
        <v>57.670000000000037</v>
      </c>
      <c r="K53" s="111">
        <f t="shared" si="21"/>
        <v>101.89333333333335</v>
      </c>
      <c r="L53" s="111">
        <f ca="1">SUM(L48:L52)</f>
        <v>157.31954293257064</v>
      </c>
      <c r="M53" s="111">
        <f t="shared" ref="M53:P53" ca="1" si="22">SUM(M48:M52)</f>
        <v>209.61297874315437</v>
      </c>
      <c r="N53" s="111">
        <f t="shared" ca="1" si="22"/>
        <v>235.11434797217163</v>
      </c>
      <c r="O53" s="111">
        <f t="shared" ca="1" si="22"/>
        <v>235.96630139586091</v>
      </c>
      <c r="P53" s="111">
        <f t="shared" ca="1" si="22"/>
        <v>262.20413934331071</v>
      </c>
    </row>
    <row r="54" spans="4:16" x14ac:dyDescent="0.25">
      <c r="F54" s="15"/>
    </row>
    <row r="55" spans="4:16" x14ac:dyDescent="0.25">
      <c r="D55" s="1" t="str">
        <f>'Historical FS'!C52</f>
        <v>Investing Activities</v>
      </c>
      <c r="F55" s="15"/>
    </row>
    <row r="56" spans="4:16" x14ac:dyDescent="0.25">
      <c r="D56" t="str">
        <f>'Historical FS'!D53</f>
        <v>CAPEX</v>
      </c>
      <c r="F56" s="15" t="s">
        <v>20</v>
      </c>
      <c r="I56" s="55">
        <f>'Historical FS'!G53</f>
        <v>-5.0266666666666673</v>
      </c>
      <c r="J56" s="55">
        <f>'Historical FS'!H53</f>
        <v>-5.38</v>
      </c>
      <c r="K56" s="55">
        <f>'Historical FS'!I53</f>
        <v>-5.5</v>
      </c>
      <c r="L56">
        <f>-Input!L64</f>
        <v>-75</v>
      </c>
      <c r="M56">
        <f>-Input!M64</f>
        <v>-550</v>
      </c>
      <c r="N56">
        <f>-Input!N64</f>
        <v>-200</v>
      </c>
      <c r="O56">
        <f>-Input!O64</f>
        <v>-550</v>
      </c>
      <c r="P56">
        <f>-Input!P64</f>
        <v>-25.5</v>
      </c>
    </row>
    <row r="57" spans="4:16" x14ac:dyDescent="0.25">
      <c r="D57" t="str">
        <f>'Historical FS'!D54</f>
        <v>Asset Dispositions</v>
      </c>
      <c r="F57" s="15" t="s">
        <v>20</v>
      </c>
      <c r="I57" s="55">
        <f>'Historical FS'!G54</f>
        <v>0.13333333333333333</v>
      </c>
      <c r="J57" s="55">
        <f>'Historical FS'!H54</f>
        <v>0.22666666666666666</v>
      </c>
      <c r="K57" s="55">
        <f>'Historical FS'!I54</f>
        <v>0.7</v>
      </c>
      <c r="L57">
        <f>Input!L142</f>
        <v>0</v>
      </c>
      <c r="M57">
        <f>Input!M142</f>
        <v>0</v>
      </c>
      <c r="N57">
        <f>Input!N142</f>
        <v>0</v>
      </c>
      <c r="O57">
        <f>Input!O142</f>
        <v>0</v>
      </c>
      <c r="P57">
        <f>Input!P142</f>
        <v>0</v>
      </c>
    </row>
    <row r="58" spans="4:16" x14ac:dyDescent="0.25">
      <c r="D58" t="str">
        <f>'Historical FS'!D55</f>
        <v>Other</v>
      </c>
      <c r="F58" s="15" t="s">
        <v>20</v>
      </c>
      <c r="I58" s="65">
        <f>'Historical FS'!G55</f>
        <v>-0.38666666666666666</v>
      </c>
      <c r="J58" s="65">
        <f>'Historical FS'!H55</f>
        <v>-0.28000000000000003</v>
      </c>
      <c r="K58" s="65">
        <f>'Historical FS'!I55</f>
        <v>-0.32</v>
      </c>
      <c r="L58">
        <f>Input!L136</f>
        <v>0</v>
      </c>
      <c r="M58">
        <f>Input!M136</f>
        <v>0</v>
      </c>
      <c r="N58">
        <f>Input!N136</f>
        <v>0</v>
      </c>
      <c r="O58">
        <f>Input!O136</f>
        <v>0</v>
      </c>
      <c r="P58">
        <f>Input!P136</f>
        <v>0</v>
      </c>
    </row>
    <row r="59" spans="4:16" x14ac:dyDescent="0.25">
      <c r="D59" s="1" t="str">
        <f>'Historical FS'!D56</f>
        <v>Investing Cash Flow</v>
      </c>
      <c r="F59" s="15" t="s">
        <v>20</v>
      </c>
      <c r="I59" s="111">
        <f t="shared" ref="I59:K59" si="23">SUM(I56:I58)</f>
        <v>-5.28</v>
      </c>
      <c r="J59" s="111">
        <f t="shared" si="23"/>
        <v>-5.4333333333333336</v>
      </c>
      <c r="K59" s="111">
        <f t="shared" si="23"/>
        <v>-5.12</v>
      </c>
      <c r="L59" s="111">
        <f>SUM(L56:L58)</f>
        <v>-75</v>
      </c>
      <c r="M59" s="111">
        <f t="shared" ref="M59:P59" si="24">SUM(M56:M58)</f>
        <v>-550</v>
      </c>
      <c r="N59" s="111">
        <f t="shared" si="24"/>
        <v>-200</v>
      </c>
      <c r="O59" s="111">
        <f t="shared" si="24"/>
        <v>-550</v>
      </c>
      <c r="P59" s="111">
        <f t="shared" si="24"/>
        <v>-25.5</v>
      </c>
    </row>
    <row r="60" spans="4:16" x14ac:dyDescent="0.25">
      <c r="F60" s="15"/>
    </row>
    <row r="61" spans="4:16" x14ac:dyDescent="0.25">
      <c r="D61" s="1" t="str">
        <f>'Historical FS'!C58</f>
        <v>Financing Activities</v>
      </c>
      <c r="F61" s="15"/>
    </row>
    <row r="62" spans="4:16" x14ac:dyDescent="0.25">
      <c r="D62" t="str">
        <f>'Historical FS'!D59</f>
        <v>Revolver Issuance / (Repayment)</v>
      </c>
      <c r="F62" s="15" t="s">
        <v>20</v>
      </c>
      <c r="I62" s="55">
        <f>'Historical FS'!G59</f>
        <v>1</v>
      </c>
      <c r="J62" s="55">
        <f>'Historical FS'!H59</f>
        <v>0</v>
      </c>
      <c r="K62" s="55">
        <f>'Historical FS'!I59</f>
        <v>0</v>
      </c>
      <c r="L62">
        <f ca="1">L334</f>
        <v>0</v>
      </c>
      <c r="M62">
        <f ca="1">M334</f>
        <v>0</v>
      </c>
      <c r="N62">
        <f ca="1">N334</f>
        <v>86.058100516679488</v>
      </c>
      <c r="O62">
        <f ca="1">O334</f>
        <v>356.61688188864139</v>
      </c>
      <c r="P62">
        <f ca="1">P334</f>
        <v>-211.24225849650608</v>
      </c>
    </row>
    <row r="63" spans="4:16" x14ac:dyDescent="0.25">
      <c r="D63" t="str">
        <f>'Historical FS'!D60</f>
        <v>Variable Rate Long Term Debt Issuance / (Repayment)</v>
      </c>
      <c r="F63" s="15" t="s">
        <v>20</v>
      </c>
      <c r="I63" s="55">
        <f>'Historical FS'!G60</f>
        <v>3.3333333333333335</v>
      </c>
      <c r="J63" s="55">
        <f>'Historical FS'!H60</f>
        <v>8.3222666666666676</v>
      </c>
      <c r="K63" s="55">
        <f>'Historical FS'!I60</f>
        <v>0</v>
      </c>
      <c r="L63">
        <f>L305-L306</f>
        <v>-30.533333333333335</v>
      </c>
      <c r="M63">
        <f t="shared" ref="M63:P63" si="25">M305-M306</f>
        <v>30</v>
      </c>
      <c r="N63">
        <f t="shared" si="25"/>
        <v>-30</v>
      </c>
      <c r="O63">
        <f t="shared" si="25"/>
        <v>30</v>
      </c>
      <c r="P63">
        <f t="shared" si="25"/>
        <v>-30</v>
      </c>
    </row>
    <row r="64" spans="4:16" x14ac:dyDescent="0.25">
      <c r="D64" t="str">
        <f>'Historical FS'!D61</f>
        <v>Fixed Rate Long Term Debt Issuance / (Repayment)</v>
      </c>
      <c r="F64" s="15" t="s">
        <v>20</v>
      </c>
      <c r="I64" s="55">
        <f>'Historical FS'!G61</f>
        <v>0</v>
      </c>
      <c r="J64" s="55">
        <f>'Historical FS'!H61</f>
        <v>-6.666666666666667</v>
      </c>
      <c r="K64" s="55">
        <f>'Historical FS'!I61</f>
        <v>-8.5666666666666664</v>
      </c>
      <c r="L64">
        <f>L297-L298</f>
        <v>0</v>
      </c>
      <c r="M64">
        <f t="shared" ref="M64:P64" si="26">M297-M298</f>
        <v>54.22</v>
      </c>
      <c r="N64">
        <f t="shared" si="26"/>
        <v>-50</v>
      </c>
      <c r="O64">
        <f t="shared" si="26"/>
        <v>-30</v>
      </c>
      <c r="P64">
        <f t="shared" si="26"/>
        <v>0</v>
      </c>
    </row>
    <row r="65" spans="2:16" x14ac:dyDescent="0.25">
      <c r="D65" t="str">
        <f>'Historical FS'!D62</f>
        <v>Preferred  Share Issuance/ (Buy-Back)</v>
      </c>
      <c r="F65" s="15" t="s">
        <v>20</v>
      </c>
      <c r="I65" s="55">
        <f>'Historical FS'!G62</f>
        <v>0</v>
      </c>
      <c r="J65" s="55">
        <f>'Historical FS'!H62</f>
        <v>0</v>
      </c>
      <c r="K65" s="55">
        <f>'Historical FS'!I62</f>
        <v>0</v>
      </c>
      <c r="L65">
        <f>Input!L123</f>
        <v>0</v>
      </c>
      <c r="M65">
        <f>Input!M123</f>
        <v>95</v>
      </c>
      <c r="N65">
        <f>Input!N123</f>
        <v>0</v>
      </c>
      <c r="O65">
        <f>Input!O123</f>
        <v>0</v>
      </c>
      <c r="P65">
        <f>Input!P123</f>
        <v>0</v>
      </c>
    </row>
    <row r="66" spans="2:16" x14ac:dyDescent="0.25">
      <c r="D66" t="str">
        <f>'Historical FS'!D63</f>
        <v>Common Share Issuance/ (Buy-Back)</v>
      </c>
      <c r="F66" s="15" t="s">
        <v>20</v>
      </c>
      <c r="I66" s="55">
        <f>'Historical FS'!G63</f>
        <v>-5.3666666666666663</v>
      </c>
      <c r="J66" s="55">
        <f>'Historical FS'!H63</f>
        <v>-5.9333333333333336</v>
      </c>
      <c r="K66" s="55">
        <f>'Historical FS'!I63</f>
        <v>-4.666666666666667</v>
      </c>
      <c r="L66">
        <f t="shared" ref="L66:P66" si="27">L274</f>
        <v>25</v>
      </c>
      <c r="M66">
        <f t="shared" si="27"/>
        <v>0</v>
      </c>
      <c r="N66">
        <f t="shared" si="27"/>
        <v>-25</v>
      </c>
      <c r="O66">
        <f t="shared" si="27"/>
        <v>0</v>
      </c>
      <c r="P66">
        <f t="shared" si="27"/>
        <v>50</v>
      </c>
    </row>
    <row r="67" spans="2:16" x14ac:dyDescent="0.25">
      <c r="D67" t="str">
        <f>'Historical FS'!D64</f>
        <v>Preferred Dividends</v>
      </c>
      <c r="F67" s="15" t="s">
        <v>20</v>
      </c>
      <c r="I67" s="55">
        <f>'Historical FS'!G64</f>
        <v>0</v>
      </c>
      <c r="J67" s="55">
        <f>'Historical FS'!H64</f>
        <v>0</v>
      </c>
      <c r="K67" s="55">
        <f>'Historical FS'!I64</f>
        <v>0</v>
      </c>
      <c r="L67">
        <f>-L34</f>
        <v>-8.199999999999999E-2</v>
      </c>
      <c r="M67">
        <f>-M34</f>
        <v>-7.2069999999999999</v>
      </c>
      <c r="N67">
        <f>-N34</f>
        <v>-7.2069999999999999</v>
      </c>
      <c r="O67">
        <f>-O34</f>
        <v>-7.2069999999999999</v>
      </c>
      <c r="P67">
        <f>-P34</f>
        <v>-7.2069999999999999</v>
      </c>
    </row>
    <row r="68" spans="2:16" x14ac:dyDescent="0.25">
      <c r="D68" t="str">
        <f>'Historical FS'!D65</f>
        <v>Common Dividends</v>
      </c>
      <c r="F68" s="15" t="s">
        <v>20</v>
      </c>
      <c r="I68" s="55">
        <f>'Historical FS'!G65</f>
        <v>-2.7866666666666666</v>
      </c>
      <c r="J68" s="55">
        <f>'Historical FS'!H65</f>
        <v>-3.0066666666666668</v>
      </c>
      <c r="K68" s="55">
        <f>'Historical FS'!I65</f>
        <v>-3.1266666666666665</v>
      </c>
      <c r="L68">
        <f ca="1">-L282</f>
        <v>-35.50135618576823</v>
      </c>
      <c r="M68">
        <f t="shared" ref="M68:P68" ca="1" si="28">-M282</f>
        <v>-43.510191002262602</v>
      </c>
      <c r="N68">
        <f t="shared" ca="1" si="28"/>
        <v>-41.846356309878743</v>
      </c>
      <c r="O68">
        <f t="shared" ca="1" si="28"/>
        <v>-35.376183284502275</v>
      </c>
      <c r="P68">
        <f t="shared" ca="1" si="28"/>
        <v>-38.254880846804639</v>
      </c>
    </row>
    <row r="69" spans="2:16" x14ac:dyDescent="0.25">
      <c r="D69" t="str">
        <f>'Historical FS'!D66</f>
        <v>Other</v>
      </c>
      <c r="F69" s="15" t="s">
        <v>20</v>
      </c>
      <c r="I69" s="65">
        <f>'Historical FS'!G66</f>
        <v>-0.12000000000000001</v>
      </c>
      <c r="J69" s="65">
        <f>'Historical FS'!H66</f>
        <v>-0.12666666666666665</v>
      </c>
      <c r="K69" s="65">
        <f>'Historical FS'!I66</f>
        <v>-0.19333333333333333</v>
      </c>
      <c r="L69">
        <f>Input!L137</f>
        <v>0</v>
      </c>
      <c r="M69">
        <f>Input!M137</f>
        <v>0</v>
      </c>
      <c r="N69">
        <f>Input!N137</f>
        <v>0</v>
      </c>
      <c r="O69">
        <f>Input!O137</f>
        <v>0</v>
      </c>
      <c r="P69">
        <f>Input!P137</f>
        <v>0</v>
      </c>
    </row>
    <row r="70" spans="2:16" x14ac:dyDescent="0.25">
      <c r="D70" s="1" t="str">
        <f>'Historical FS'!D67</f>
        <v>Financing Cash Flow</v>
      </c>
      <c r="F70" s="15" t="s">
        <v>20</v>
      </c>
      <c r="I70" s="111">
        <f>SUM(I62:I69)</f>
        <v>-3.9399999999999991</v>
      </c>
      <c r="J70" s="111">
        <f t="shared" ref="J70:K70" si="29">SUM(J62:J69)</f>
        <v>-7.4110666666666667</v>
      </c>
      <c r="K70" s="111">
        <f t="shared" si="29"/>
        <v>-16.553333333333331</v>
      </c>
      <c r="L70" s="111">
        <f ca="1">SUM(L62:L69)</f>
        <v>-41.116689519101563</v>
      </c>
      <c r="M70" s="111">
        <f t="shared" ref="M70:P70" ca="1" si="30">SUM(M62:M69)</f>
        <v>128.50280899773742</v>
      </c>
      <c r="N70" s="111">
        <f t="shared" ca="1" si="30"/>
        <v>-67.995255793199249</v>
      </c>
      <c r="O70" s="111">
        <f t="shared" ca="1" si="30"/>
        <v>314.03369860413909</v>
      </c>
      <c r="P70" s="111">
        <f t="shared" ca="1" si="30"/>
        <v>-236.70413934331071</v>
      </c>
    </row>
    <row r="72" spans="2:16" x14ac:dyDescent="0.25">
      <c r="D72" s="1" t="str">
        <f>'Historical FS'!D69</f>
        <v>Change in Cash Position</v>
      </c>
      <c r="F72" s="15" t="s">
        <v>20</v>
      </c>
      <c r="I72" s="55">
        <f>I53+I59+I70</f>
        <v>62.356666666666683</v>
      </c>
      <c r="J72" s="55">
        <f>'Historical FS'!H69</f>
        <v>44.825600000000037</v>
      </c>
      <c r="K72" s="55">
        <f>'Historical FS'!I69</f>
        <v>80.220000000000013</v>
      </c>
      <c r="L72">
        <f ca="1">L53+L59+L70</f>
        <v>41.202853413469079</v>
      </c>
      <c r="M72">
        <f t="shared" ref="M72:P72" ca="1" si="31">M53+M59+M70</f>
        <v>-211.88421225910821</v>
      </c>
      <c r="N72">
        <f t="shared" ca="1" si="31"/>
        <v>-32.88090782102762</v>
      </c>
      <c r="O72">
        <f t="shared" ca="1" si="31"/>
        <v>0</v>
      </c>
      <c r="P72">
        <f t="shared" ca="1" si="31"/>
        <v>0</v>
      </c>
    </row>
    <row r="73" spans="2:16" x14ac:dyDescent="0.25">
      <c r="D73" t="str">
        <f>'Historical FS'!D70</f>
        <v>Beginning Cash</v>
      </c>
      <c r="F73" s="15" t="s">
        <v>20</v>
      </c>
      <c r="I73" s="55">
        <f>'Historical FS'!G70</f>
        <v>16.16</v>
      </c>
      <c r="J73" s="55">
        <f>'Historical FS'!H70</f>
        <v>78.51666666666668</v>
      </c>
      <c r="K73" s="55">
        <f>'Historical FS'!I70</f>
        <v>123.34226666666672</v>
      </c>
      <c r="L73">
        <f>K74</f>
        <v>203.56226666666674</v>
      </c>
      <c r="M73">
        <f t="shared" ref="M73:P73" ca="1" si="32">L74</f>
        <v>244.76512008013583</v>
      </c>
      <c r="N73">
        <f t="shared" ca="1" si="32"/>
        <v>32.88090782102762</v>
      </c>
      <c r="O73">
        <f t="shared" ca="1" si="32"/>
        <v>0</v>
      </c>
      <c r="P73">
        <f t="shared" ca="1" si="32"/>
        <v>0</v>
      </c>
    </row>
    <row r="74" spans="2:16" ht="14.4" thickBot="1" x14ac:dyDescent="0.3">
      <c r="D74" s="1" t="str">
        <f>'Historical FS'!D71</f>
        <v>Ending Cash</v>
      </c>
      <c r="F74" s="15" t="s">
        <v>20</v>
      </c>
      <c r="I74" s="114">
        <f>SUM(I72:I73)</f>
        <v>78.51666666666668</v>
      </c>
      <c r="J74" s="114">
        <f t="shared" ref="J74:K74" si="33">SUM(J72:J73)</f>
        <v>123.34226666666672</v>
      </c>
      <c r="K74" s="114">
        <f t="shared" si="33"/>
        <v>203.56226666666674</v>
      </c>
      <c r="L74" s="114">
        <f ca="1">SUM(L72:L73)</f>
        <v>244.76512008013583</v>
      </c>
      <c r="M74" s="114">
        <f t="shared" ref="M74:P74" ca="1" si="34">SUM(M72:M73)</f>
        <v>32.88090782102762</v>
      </c>
      <c r="N74" s="114">
        <f t="shared" ca="1" si="34"/>
        <v>0</v>
      </c>
      <c r="O74" s="114">
        <f t="shared" ca="1" si="34"/>
        <v>0</v>
      </c>
      <c r="P74" s="114">
        <f t="shared" ca="1" si="34"/>
        <v>0</v>
      </c>
    </row>
    <row r="75" spans="2:16" ht="14.4" thickTop="1" x14ac:dyDescent="0.25">
      <c r="F75" s="97"/>
    </row>
    <row r="76" spans="2:16" ht="16.149999999999999" thickBot="1" x14ac:dyDescent="0.35">
      <c r="B76" s="48" t="s">
        <v>50</v>
      </c>
      <c r="C76" s="14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</row>
    <row r="77" spans="2:16" x14ac:dyDescent="0.25">
      <c r="F77" s="15"/>
    </row>
    <row r="78" spans="2:16" x14ac:dyDescent="0.25">
      <c r="D78" s="1" t="str">
        <f>'Historical FS'!C81</f>
        <v>ASSETS</v>
      </c>
      <c r="F78" s="15"/>
    </row>
    <row r="79" spans="2:16" x14ac:dyDescent="0.25">
      <c r="D79" t="str">
        <f>'Historical FS'!D82</f>
        <v>Cash and Equivalents</v>
      </c>
      <c r="F79" s="15" t="s">
        <v>20</v>
      </c>
      <c r="I79" s="55">
        <f>'Historical FS'!G82</f>
        <v>78.51666666666668</v>
      </c>
      <c r="J79" s="55">
        <f>'Historical FS'!H82</f>
        <v>123.34226666666672</v>
      </c>
      <c r="K79" s="55">
        <f>'Historical FS'!I82</f>
        <v>203.56226666666674</v>
      </c>
      <c r="L79">
        <f ca="1">L74</f>
        <v>244.76512008013583</v>
      </c>
      <c r="M79">
        <f t="shared" ref="M79:P79" ca="1" si="35">M74</f>
        <v>32.88090782102762</v>
      </c>
      <c r="N79">
        <f t="shared" ca="1" si="35"/>
        <v>0</v>
      </c>
      <c r="O79">
        <f t="shared" ca="1" si="35"/>
        <v>0</v>
      </c>
      <c r="P79">
        <f t="shared" ca="1" si="35"/>
        <v>0</v>
      </c>
    </row>
    <row r="80" spans="2:16" x14ac:dyDescent="0.25">
      <c r="D80" t="str">
        <f>'Historical FS'!D83</f>
        <v>Accounts Receivable</v>
      </c>
      <c r="F80" s="15" t="s">
        <v>20</v>
      </c>
      <c r="I80" s="55">
        <f>'Historical FS'!G83</f>
        <v>47.773333333333333</v>
      </c>
      <c r="J80" s="55">
        <f>'Historical FS'!H83</f>
        <v>50.453333333333333</v>
      </c>
      <c r="K80" s="55">
        <f>'Historical FS'!I83</f>
        <v>50.56</v>
      </c>
      <c r="L80">
        <f>L248</f>
        <v>53.189978184931512</v>
      </c>
      <c r="M80">
        <f t="shared" ref="M80:P80" si="36">M248</f>
        <v>62.741960189959933</v>
      </c>
      <c r="N80">
        <f t="shared" si="36"/>
        <v>64.482410406457461</v>
      </c>
      <c r="O80">
        <f t="shared" si="36"/>
        <v>65.228923222162138</v>
      </c>
      <c r="P80">
        <f t="shared" si="36"/>
        <v>70.209995499172805</v>
      </c>
    </row>
    <row r="81" spans="4:16" x14ac:dyDescent="0.25">
      <c r="D81" t="str">
        <f>'Historical FS'!D84</f>
        <v>Inventory</v>
      </c>
      <c r="F81" s="15" t="s">
        <v>20</v>
      </c>
      <c r="I81" s="55">
        <f>'Historical FS'!G84</f>
        <v>11.24375</v>
      </c>
      <c r="J81" s="55">
        <f>'Historical FS'!H84</f>
        <v>12.877500000000001</v>
      </c>
      <c r="K81" s="55">
        <f>'Historical FS'!I84</f>
        <v>13.57375</v>
      </c>
      <c r="L81">
        <f t="shared" ref="L81:P82" si="37">L249</f>
        <v>14.206519561643834</v>
      </c>
      <c r="M81">
        <f t="shared" si="37"/>
        <v>14.762095951643833</v>
      </c>
      <c r="N81">
        <f t="shared" si="37"/>
        <v>15.103480779295083</v>
      </c>
      <c r="O81">
        <f t="shared" si="37"/>
        <v>15.629495704408505</v>
      </c>
      <c r="P81">
        <f t="shared" si="37"/>
        <v>16.1765280540628</v>
      </c>
    </row>
    <row r="82" spans="4:16" x14ac:dyDescent="0.25">
      <c r="D82" t="str">
        <f>'Historical FS'!D85</f>
        <v>Other</v>
      </c>
      <c r="F82" s="15" t="s">
        <v>20</v>
      </c>
      <c r="I82" s="55">
        <f>'Historical FS'!G85</f>
        <v>18.426666666666666</v>
      </c>
      <c r="J82" s="55">
        <f>'Historical FS'!H85</f>
        <v>19.066666666666666</v>
      </c>
      <c r="K82" s="55">
        <f>'Historical FS'!I85</f>
        <v>19.353333333333332</v>
      </c>
      <c r="L82">
        <f t="shared" si="37"/>
        <v>21.535279652968036</v>
      </c>
      <c r="M82">
        <f t="shared" si="37"/>
        <v>21.763880592739721</v>
      </c>
      <c r="N82">
        <f t="shared" si="37"/>
        <v>22.235680036184426</v>
      </c>
      <c r="O82">
        <f t="shared" si="37"/>
        <v>23.258178131560275</v>
      </c>
      <c r="P82">
        <f t="shared" si="37"/>
        <v>23.943829222878666</v>
      </c>
    </row>
    <row r="83" spans="4:16" x14ac:dyDescent="0.25">
      <c r="D83" s="1" t="str">
        <f>'Historical FS'!D86</f>
        <v>Total Current Assets</v>
      </c>
      <c r="F83" s="15" t="s">
        <v>20</v>
      </c>
      <c r="I83" s="111">
        <f t="shared" ref="I83:K83" si="38">SUM(I79:I82)</f>
        <v>155.9604166666667</v>
      </c>
      <c r="J83" s="111">
        <f t="shared" si="38"/>
        <v>205.7397666666667</v>
      </c>
      <c r="K83" s="111">
        <f t="shared" si="38"/>
        <v>287.04935000000012</v>
      </c>
      <c r="L83" s="111">
        <f ca="1">SUM(L79:L82)</f>
        <v>333.69689747967925</v>
      </c>
      <c r="M83" s="111">
        <f t="shared" ref="M83:P83" ca="1" si="39">SUM(M79:M82)</f>
        <v>132.14884455537111</v>
      </c>
      <c r="N83" s="111">
        <f t="shared" ca="1" si="39"/>
        <v>101.82157122193698</v>
      </c>
      <c r="O83" s="111">
        <f t="shared" ca="1" si="39"/>
        <v>104.11659705813091</v>
      </c>
      <c r="P83" s="111">
        <f t="shared" ca="1" si="39"/>
        <v>110.33035277611427</v>
      </c>
    </row>
    <row r="84" spans="4:16" x14ac:dyDescent="0.25">
      <c r="F84" s="15"/>
    </row>
    <row r="85" spans="4:16" x14ac:dyDescent="0.25">
      <c r="D85" t="str">
        <f>'Historical FS'!D88</f>
        <v>Net PP&amp;E</v>
      </c>
      <c r="F85" s="15" t="s">
        <v>20</v>
      </c>
      <c r="I85" s="55">
        <f>'Historical FS'!G88</f>
        <v>40.886666666666663</v>
      </c>
      <c r="J85" s="55">
        <f>'Historical FS'!H88</f>
        <v>34.126666666666665</v>
      </c>
      <c r="K85" s="55">
        <f>'Historical FS'!I88</f>
        <v>35.773333333333333</v>
      </c>
      <c r="L85">
        <f>K85+Input!L64-Model!L49</f>
        <v>104.69600000000001</v>
      </c>
      <c r="M85">
        <f>L85+Input!M64-Model!M49</f>
        <v>627.78533333333337</v>
      </c>
      <c r="N85">
        <f>M85+Input!N64-Model!N49</f>
        <v>775.87466666666671</v>
      </c>
      <c r="O85">
        <f>N85+Input!O64-Model!O49</f>
        <v>1248.9639999999999</v>
      </c>
      <c r="P85">
        <f>O85+Input!P64-Model!P49</f>
        <v>1178.3699999999999</v>
      </c>
    </row>
    <row r="86" spans="4:16" x14ac:dyDescent="0.25">
      <c r="D86" t="str">
        <f>'Historical FS'!D89</f>
        <v>Goodwill</v>
      </c>
      <c r="F86" s="15" t="s">
        <v>20</v>
      </c>
      <c r="I86" s="55">
        <f>'Historical FS'!G89</f>
        <v>7.7333333333333334</v>
      </c>
      <c r="J86" s="55">
        <f>'Historical FS'!H89</f>
        <v>7.7266666666666675</v>
      </c>
      <c r="K86" s="55">
        <f>'Historical FS'!I89</f>
        <v>7.7333333333333334</v>
      </c>
      <c r="L86">
        <f>K86</f>
        <v>7.7333333333333334</v>
      </c>
      <c r="M86">
        <f t="shared" ref="M86:P86" si="40">L86</f>
        <v>7.7333333333333334</v>
      </c>
      <c r="N86">
        <f t="shared" si="40"/>
        <v>7.7333333333333334</v>
      </c>
      <c r="O86">
        <f t="shared" si="40"/>
        <v>7.7333333333333334</v>
      </c>
      <c r="P86">
        <f t="shared" si="40"/>
        <v>7.7333333333333334</v>
      </c>
    </row>
    <row r="87" spans="4:16" x14ac:dyDescent="0.25">
      <c r="D87" t="str">
        <f>'Historical FS'!D90</f>
        <v>Intangibles</v>
      </c>
      <c r="F87" s="15" t="s">
        <v>20</v>
      </c>
      <c r="I87" s="55">
        <f>'Historical FS'!G90</f>
        <v>14.659999999999998</v>
      </c>
      <c r="J87" s="55">
        <f>'Historical FS'!H90</f>
        <v>14.706666666666667</v>
      </c>
      <c r="K87" s="55">
        <f>'Historical FS'!I90</f>
        <v>13.859999999999998</v>
      </c>
      <c r="L87">
        <f t="shared" ref="L87:P88" si="41">K87</f>
        <v>13.859999999999998</v>
      </c>
      <c r="M87">
        <f t="shared" si="41"/>
        <v>13.859999999999998</v>
      </c>
      <c r="N87">
        <f t="shared" si="41"/>
        <v>13.859999999999998</v>
      </c>
      <c r="O87">
        <f t="shared" si="41"/>
        <v>13.859999999999998</v>
      </c>
      <c r="P87">
        <f t="shared" si="41"/>
        <v>13.859999999999998</v>
      </c>
    </row>
    <row r="88" spans="4:16" x14ac:dyDescent="0.25">
      <c r="D88" t="str">
        <f>'Historical FS'!D91</f>
        <v>Other</v>
      </c>
      <c r="F88" s="15" t="s">
        <v>20</v>
      </c>
      <c r="I88" s="55">
        <f>'Historical FS'!G91</f>
        <v>11.593333333333334</v>
      </c>
      <c r="J88" s="55">
        <f>'Historical FS'!H91</f>
        <v>12.966666666666667</v>
      </c>
      <c r="K88" s="55">
        <f>'Historical FS'!I91</f>
        <v>12.673333333333334</v>
      </c>
      <c r="L88">
        <f t="shared" si="41"/>
        <v>12.673333333333334</v>
      </c>
      <c r="M88">
        <f t="shared" si="41"/>
        <v>12.673333333333334</v>
      </c>
      <c r="N88">
        <f t="shared" si="41"/>
        <v>12.673333333333334</v>
      </c>
      <c r="O88">
        <f t="shared" si="41"/>
        <v>12.673333333333334</v>
      </c>
      <c r="P88">
        <f t="shared" si="41"/>
        <v>12.673333333333334</v>
      </c>
    </row>
    <row r="89" spans="4:16" x14ac:dyDescent="0.25">
      <c r="D89" s="1" t="str">
        <f>'Historical FS'!D92</f>
        <v>Total Long Term Assets</v>
      </c>
      <c r="F89" s="15" t="s">
        <v>20</v>
      </c>
      <c r="I89" s="111">
        <f t="shared" ref="I89:K89" si="42">SUM(I85:I88)</f>
        <v>74.873333333333335</v>
      </c>
      <c r="J89" s="111">
        <f t="shared" si="42"/>
        <v>69.526666666666671</v>
      </c>
      <c r="K89" s="111">
        <f t="shared" si="42"/>
        <v>70.040000000000006</v>
      </c>
      <c r="L89" s="111">
        <f>SUM(L85:L88)</f>
        <v>138.96266666666668</v>
      </c>
      <c r="M89" s="111">
        <f t="shared" ref="M89:P89" si="43">SUM(M85:M88)</f>
        <v>662.05200000000002</v>
      </c>
      <c r="N89" s="111">
        <f t="shared" si="43"/>
        <v>810.14133333333336</v>
      </c>
      <c r="O89" s="111">
        <f t="shared" si="43"/>
        <v>1283.2306666666666</v>
      </c>
      <c r="P89" s="111">
        <f t="shared" si="43"/>
        <v>1212.6366666666665</v>
      </c>
    </row>
    <row r="90" spans="4:16" x14ac:dyDescent="0.25">
      <c r="D90" s="1"/>
    </row>
    <row r="91" spans="4:16" ht="14.4" thickBot="1" x14ac:dyDescent="0.3">
      <c r="D91" s="1" t="s">
        <v>60</v>
      </c>
      <c r="F91" s="15" t="s">
        <v>20</v>
      </c>
      <c r="I91" s="114">
        <f>I83+I89</f>
        <v>230.83375000000004</v>
      </c>
      <c r="J91" s="114">
        <f t="shared" ref="J91:P91" si="44">J83+J89</f>
        <v>275.26643333333334</v>
      </c>
      <c r="K91" s="114">
        <f t="shared" si="44"/>
        <v>357.08935000000014</v>
      </c>
      <c r="L91" s="114">
        <f ca="1">L83+L89</f>
        <v>472.65956414634593</v>
      </c>
      <c r="M91" s="114">
        <f t="shared" ca="1" si="44"/>
        <v>794.20084455537108</v>
      </c>
      <c r="N91" s="114">
        <f t="shared" ca="1" si="44"/>
        <v>911.96290455527037</v>
      </c>
      <c r="O91" s="114">
        <f t="shared" ca="1" si="44"/>
        <v>1387.3472637247976</v>
      </c>
      <c r="P91" s="114">
        <f t="shared" ca="1" si="44"/>
        <v>1322.9670194427808</v>
      </c>
    </row>
    <row r="92" spans="4:16" ht="14.4" thickTop="1" x14ac:dyDescent="0.25">
      <c r="F92" s="15"/>
    </row>
    <row r="93" spans="4:16" x14ac:dyDescent="0.25">
      <c r="D93" s="1" t="str">
        <f>'Historical FS'!C96</f>
        <v>LIABILITIES AND EQUITY</v>
      </c>
      <c r="F93" s="15"/>
    </row>
    <row r="94" spans="4:16" x14ac:dyDescent="0.25">
      <c r="D94" t="str">
        <f>'Historical FS'!D97</f>
        <v>Bank Debt - Revolver</v>
      </c>
      <c r="F94" s="15" t="s">
        <v>20</v>
      </c>
      <c r="I94" s="55">
        <f>'Historical FS'!G97</f>
        <v>0.7</v>
      </c>
      <c r="J94" s="55">
        <f>'Historical FS'!H97</f>
        <v>0</v>
      </c>
      <c r="K94" s="55">
        <f>'Historical FS'!I97</f>
        <v>0</v>
      </c>
      <c r="L94">
        <f ca="1">L335</f>
        <v>0</v>
      </c>
      <c r="M94">
        <f t="shared" ref="M94:P94" ca="1" si="45">M335</f>
        <v>0</v>
      </c>
      <c r="N94">
        <f t="shared" ca="1" si="45"/>
        <v>86.058100516679488</v>
      </c>
      <c r="O94">
        <f t="shared" ca="1" si="45"/>
        <v>442.67498240532086</v>
      </c>
      <c r="P94">
        <f t="shared" ca="1" si="45"/>
        <v>231.43272390881478</v>
      </c>
    </row>
    <row r="95" spans="4:16" x14ac:dyDescent="0.25">
      <c r="D95" t="str">
        <f>'Historical FS'!D98</f>
        <v>Accounts Payable</v>
      </c>
      <c r="F95" s="15" t="s">
        <v>20</v>
      </c>
      <c r="I95" s="55">
        <f>'Historical FS'!G98</f>
        <v>18.233333333333334</v>
      </c>
      <c r="J95" s="55">
        <f>'Historical FS'!H98</f>
        <v>22.613333333333333</v>
      </c>
      <c r="K95" s="55">
        <f>'Historical FS'!I98</f>
        <v>21.676666666666666</v>
      </c>
      <c r="L95">
        <f>L253</f>
        <v>23.621157525114153</v>
      </c>
      <c r="M95">
        <f t="shared" ref="M95:P95" si="46">M253</f>
        <v>24.681290859863008</v>
      </c>
      <c r="N95">
        <f t="shared" si="46"/>
        <v>24.872795727807375</v>
      </c>
      <c r="O95">
        <f t="shared" si="46"/>
        <v>25.987137698996683</v>
      </c>
      <c r="P95">
        <f t="shared" si="46"/>
        <v>26.896687518461562</v>
      </c>
    </row>
    <row r="96" spans="4:16" x14ac:dyDescent="0.25">
      <c r="D96" t="str">
        <f>'Historical FS'!D99</f>
        <v>Other</v>
      </c>
      <c r="F96" s="15" t="s">
        <v>20</v>
      </c>
      <c r="I96" s="55">
        <f>'Historical FS'!G99</f>
        <v>18.443333333333335</v>
      </c>
      <c r="J96" s="55">
        <f>'Historical FS'!H99</f>
        <v>19.141666666666666</v>
      </c>
      <c r="K96" s="55">
        <f>'Historical FS'!I99</f>
        <v>19.436666666666667</v>
      </c>
      <c r="L96">
        <f>L254</f>
        <v>21.591654730593604</v>
      </c>
      <c r="M96">
        <f t="shared" ref="M96:P96" si="47">M254</f>
        <v>21.822228798082186</v>
      </c>
      <c r="N96">
        <f t="shared" si="47"/>
        <v>22.295614483721312</v>
      </c>
      <c r="O96">
        <f t="shared" si="47"/>
        <v>23.320199939911106</v>
      </c>
      <c r="P96">
        <f t="shared" si="47"/>
        <v>24.008021794521778</v>
      </c>
    </row>
    <row r="97" spans="4:16" x14ac:dyDescent="0.25">
      <c r="D97" s="1" t="str">
        <f>'Historical FS'!D100</f>
        <v>Total Current Liabilities</v>
      </c>
      <c r="F97" s="15" t="s">
        <v>20</v>
      </c>
      <c r="I97" s="111">
        <f t="shared" ref="I97:K97" si="48">SUM(I94:I96)</f>
        <v>37.376666666666665</v>
      </c>
      <c r="J97" s="111">
        <f t="shared" si="48"/>
        <v>41.754999999999995</v>
      </c>
      <c r="K97" s="111">
        <f t="shared" si="48"/>
        <v>41.11333333333333</v>
      </c>
      <c r="L97" s="111">
        <f ca="1">SUM(L94:L96)</f>
        <v>45.21281225570776</v>
      </c>
      <c r="M97" s="111">
        <f ca="1">SUM(M94:M96)</f>
        <v>46.503519657945191</v>
      </c>
      <c r="N97" s="111">
        <f t="shared" ref="N97:P97" ca="1" si="49">SUM(N94:N96)</f>
        <v>133.22651072820818</v>
      </c>
      <c r="O97" s="111">
        <f t="shared" ca="1" si="49"/>
        <v>491.98232004422863</v>
      </c>
      <c r="P97" s="111">
        <f t="shared" ca="1" si="49"/>
        <v>282.33743322179811</v>
      </c>
    </row>
    <row r="98" spans="4:16" x14ac:dyDescent="0.25">
      <c r="F98" s="15"/>
    </row>
    <row r="99" spans="4:16" x14ac:dyDescent="0.25">
      <c r="D99" t="str">
        <f>'Historical FS'!D102</f>
        <v>Variable Rate Long Term Debt</v>
      </c>
      <c r="F99" s="15" t="s">
        <v>20</v>
      </c>
      <c r="I99" s="55">
        <f>'Historical FS'!G102</f>
        <v>13.266666666666667</v>
      </c>
      <c r="J99" s="55">
        <f>'Historical FS'!H102</f>
        <v>13.353333333333333</v>
      </c>
      <c r="K99" s="55">
        <f>'Historical FS'!I102</f>
        <v>30.533333333333335</v>
      </c>
      <c r="L99">
        <f>L307</f>
        <v>0</v>
      </c>
      <c r="M99">
        <f t="shared" ref="M99:P99" si="50">M307</f>
        <v>30</v>
      </c>
      <c r="N99">
        <f t="shared" si="50"/>
        <v>0</v>
      </c>
      <c r="O99">
        <f t="shared" si="50"/>
        <v>30</v>
      </c>
      <c r="P99">
        <f t="shared" si="50"/>
        <v>0</v>
      </c>
    </row>
    <row r="100" spans="4:16" x14ac:dyDescent="0.25">
      <c r="D100" t="str">
        <f>'Historical FS'!D103</f>
        <v>Fixed Rate Long Term Debt</v>
      </c>
      <c r="F100" s="15" t="s">
        <v>20</v>
      </c>
      <c r="I100" s="55">
        <f>'Historical FS'!G103</f>
        <v>52.526666666666664</v>
      </c>
      <c r="J100" s="55">
        <f>'Historical FS'!H103</f>
        <v>57.366666666666667</v>
      </c>
      <c r="K100" s="55">
        <f>'Historical FS'!I103</f>
        <v>25.780000000000005</v>
      </c>
      <c r="L100">
        <f>L299</f>
        <v>25.780000000000005</v>
      </c>
      <c r="M100">
        <f t="shared" ref="M100:P100" si="51">M299</f>
        <v>80</v>
      </c>
      <c r="N100">
        <f t="shared" si="51"/>
        <v>30</v>
      </c>
      <c r="O100">
        <f t="shared" si="51"/>
        <v>0</v>
      </c>
      <c r="P100">
        <f t="shared" si="51"/>
        <v>0</v>
      </c>
    </row>
    <row r="101" spans="4:16" x14ac:dyDescent="0.25">
      <c r="D101" t="str">
        <f>'Historical FS'!D104</f>
        <v>Deferred Income Taxes</v>
      </c>
      <c r="F101" s="15" t="s">
        <v>20</v>
      </c>
      <c r="I101" s="55">
        <f>'Historical FS'!G104</f>
        <v>0.93333333333333335</v>
      </c>
      <c r="J101" s="55">
        <f>'Historical FS'!H104</f>
        <v>1.18</v>
      </c>
      <c r="K101" s="55">
        <f>'Historical FS'!I104</f>
        <v>1.9200000000000002</v>
      </c>
      <c r="L101">
        <f>K101+L50</f>
        <v>12.42</v>
      </c>
      <c r="M101">
        <f t="shared" ref="M101:P101" si="52">L101+M50</f>
        <v>22.92</v>
      </c>
      <c r="N101">
        <f t="shared" si="52"/>
        <v>33.42</v>
      </c>
      <c r="O101">
        <f t="shared" si="52"/>
        <v>43.92</v>
      </c>
      <c r="P101">
        <f t="shared" si="52"/>
        <v>54.42</v>
      </c>
    </row>
    <row r="102" spans="4:16" x14ac:dyDescent="0.25">
      <c r="D102" t="str">
        <f>'Historical FS'!D105</f>
        <v>Other</v>
      </c>
      <c r="F102" s="15" t="s">
        <v>20</v>
      </c>
      <c r="I102" s="55">
        <f>'Historical FS'!G105</f>
        <v>21.6</v>
      </c>
      <c r="J102" s="55">
        <f>'Historical FS'!H105</f>
        <v>26.313333333333336</v>
      </c>
      <c r="K102" s="55">
        <f>'Historical FS'!I105</f>
        <v>27.16</v>
      </c>
      <c r="L102">
        <f>K102</f>
        <v>27.16</v>
      </c>
      <c r="M102">
        <f t="shared" ref="M102:P102" si="53">L102</f>
        <v>27.16</v>
      </c>
      <c r="N102">
        <f t="shared" si="53"/>
        <v>27.16</v>
      </c>
      <c r="O102">
        <f t="shared" si="53"/>
        <v>27.16</v>
      </c>
      <c r="P102">
        <f t="shared" si="53"/>
        <v>27.16</v>
      </c>
    </row>
    <row r="103" spans="4:16" x14ac:dyDescent="0.25">
      <c r="D103" s="1" t="str">
        <f>'Historical FS'!D106</f>
        <v>Total Long Term Liabilities</v>
      </c>
      <c r="F103" s="15" t="s">
        <v>20</v>
      </c>
      <c r="I103" s="111">
        <f t="shared" ref="I103:K103" si="54">SUM(I99:I102)</f>
        <v>88.326666666666682</v>
      </c>
      <c r="J103" s="111">
        <f t="shared" si="54"/>
        <v>98.213333333333338</v>
      </c>
      <c r="K103" s="111">
        <f t="shared" si="54"/>
        <v>85.393333333333345</v>
      </c>
      <c r="L103" s="111">
        <f>SUM(L99:L102)</f>
        <v>65.36</v>
      </c>
      <c r="M103" s="111">
        <f t="shared" ref="M103" si="55">SUM(M99:M102)</f>
        <v>160.08000000000001</v>
      </c>
      <c r="N103" s="111">
        <f t="shared" ref="N103" si="56">SUM(N99:N102)</f>
        <v>90.58</v>
      </c>
      <c r="O103" s="111">
        <f t="shared" ref="O103" si="57">SUM(O99:O102)</f>
        <v>101.08</v>
      </c>
      <c r="P103" s="111">
        <f t="shared" ref="P103" si="58">SUM(P99:P102)</f>
        <v>81.58</v>
      </c>
    </row>
    <row r="104" spans="4:16" x14ac:dyDescent="0.25">
      <c r="F104" s="15"/>
    </row>
    <row r="105" spans="4:16" x14ac:dyDescent="0.25">
      <c r="D105" s="1" t="str">
        <f>'Historical FS'!D108</f>
        <v>Total Liabilities</v>
      </c>
      <c r="F105" s="15" t="s">
        <v>20</v>
      </c>
      <c r="I105" s="111">
        <f>I97+I103</f>
        <v>125.70333333333335</v>
      </c>
      <c r="J105" s="111">
        <f t="shared" ref="J105:K105" si="59">J97+J103</f>
        <v>139.96833333333333</v>
      </c>
      <c r="K105" s="111">
        <f t="shared" si="59"/>
        <v>126.50666666666667</v>
      </c>
      <c r="L105" s="111">
        <f ca="1">L97+L103</f>
        <v>110.57281225570776</v>
      </c>
      <c r="M105" s="111">
        <f t="shared" ref="M105:P105" ca="1" si="60">M97+M103</f>
        <v>206.5835196579452</v>
      </c>
      <c r="N105" s="111">
        <f t="shared" ca="1" si="60"/>
        <v>223.8065107282082</v>
      </c>
      <c r="O105" s="111">
        <f t="shared" ca="1" si="60"/>
        <v>593.06232004422861</v>
      </c>
      <c r="P105" s="111">
        <f t="shared" ca="1" si="60"/>
        <v>363.91743322179809</v>
      </c>
    </row>
    <row r="106" spans="4:16" x14ac:dyDescent="0.25">
      <c r="F106" s="15"/>
    </row>
    <row r="107" spans="4:16" x14ac:dyDescent="0.25">
      <c r="D107" t="str">
        <f>'Historical FS'!D110</f>
        <v>Preferred Shares</v>
      </c>
      <c r="F107" s="15" t="s">
        <v>20</v>
      </c>
      <c r="I107" s="55">
        <f>'Historical FS'!G110</f>
        <v>0.42666666666666669</v>
      </c>
      <c r="J107" s="55">
        <f>'Historical FS'!H110</f>
        <v>0.42666666666666669</v>
      </c>
      <c r="K107" s="55">
        <f>'Historical FS'!I110</f>
        <v>1.0933333333333333</v>
      </c>
      <c r="L107">
        <f>L266</f>
        <v>1.0933333333333333</v>
      </c>
      <c r="M107">
        <f t="shared" ref="M107:P107" si="61">M266</f>
        <v>96.093333333333334</v>
      </c>
      <c r="N107">
        <f t="shared" si="61"/>
        <v>96.093333333333334</v>
      </c>
      <c r="O107">
        <f t="shared" si="61"/>
        <v>96.093333333333334</v>
      </c>
      <c r="P107">
        <f t="shared" si="61"/>
        <v>96.093333333333334</v>
      </c>
    </row>
    <row r="108" spans="4:16" x14ac:dyDescent="0.25">
      <c r="D108" t="str">
        <f>'Historical FS'!D111</f>
        <v>Common Shares</v>
      </c>
      <c r="F108" s="15" t="s">
        <v>20</v>
      </c>
      <c r="I108" s="55">
        <f>'Historical FS'!G111</f>
        <v>24.345333333333333</v>
      </c>
      <c r="J108" s="55">
        <f>'Historical FS'!H111</f>
        <v>24.801266666666667</v>
      </c>
      <c r="K108" s="55">
        <f>'Historical FS'!I111</f>
        <v>23.091599999999996</v>
      </c>
      <c r="L108">
        <f>L275</f>
        <v>48.0916</v>
      </c>
      <c r="M108">
        <f t="shared" ref="M108:P108" si="62">M275</f>
        <v>48.0916</v>
      </c>
      <c r="N108">
        <f t="shared" si="62"/>
        <v>23.0916</v>
      </c>
      <c r="O108">
        <f t="shared" si="62"/>
        <v>23.0916</v>
      </c>
      <c r="P108">
        <f t="shared" si="62"/>
        <v>73.0916</v>
      </c>
    </row>
    <row r="109" spans="4:16" x14ac:dyDescent="0.25">
      <c r="D109" t="str">
        <f>'Historical FS'!D112</f>
        <v>Retained Earnings</v>
      </c>
      <c r="F109" s="15" t="s">
        <v>20</v>
      </c>
      <c r="I109" s="55">
        <f>'Historical FS'!G112</f>
        <v>19.637083333333358</v>
      </c>
      <c r="J109" s="55">
        <f>'Historical FS'!H112</f>
        <v>11.1908333333334</v>
      </c>
      <c r="K109" s="55">
        <f>'Historical FS'!I112</f>
        <v>23.340416666666663</v>
      </c>
      <c r="L109">
        <f ca="1">L283</f>
        <v>129.84448522397136</v>
      </c>
      <c r="M109">
        <f t="shared" ref="M109:P109" ca="1" si="63">M283</f>
        <v>260.37505823075918</v>
      </c>
      <c r="N109">
        <f t="shared" ca="1" si="63"/>
        <v>385.91412716039542</v>
      </c>
      <c r="O109">
        <f t="shared" ca="1" si="63"/>
        <v>492.04267701390222</v>
      </c>
      <c r="P109">
        <f t="shared" ca="1" si="63"/>
        <v>606.80731955431611</v>
      </c>
    </row>
    <row r="110" spans="4:16" x14ac:dyDescent="0.25">
      <c r="D110" t="str">
        <f>'Historical FS'!D113</f>
        <v>Other</v>
      </c>
      <c r="F110" s="15" t="s">
        <v>20</v>
      </c>
      <c r="I110" s="65">
        <f>'Historical FS'!G113</f>
        <v>60.721333333333007</v>
      </c>
      <c r="J110" s="65">
        <f>'Historical FS'!H113</f>
        <v>98.879333333332994</v>
      </c>
      <c r="K110" s="65">
        <f>'Historical FS'!I113</f>
        <v>183.05733333333336</v>
      </c>
      <c r="L110">
        <f>K110</f>
        <v>183.05733333333336</v>
      </c>
      <c r="M110">
        <f t="shared" ref="M110:P110" si="64">L110</f>
        <v>183.05733333333336</v>
      </c>
      <c r="N110">
        <f t="shared" si="64"/>
        <v>183.05733333333336</v>
      </c>
      <c r="O110">
        <f t="shared" si="64"/>
        <v>183.05733333333336</v>
      </c>
      <c r="P110">
        <f t="shared" si="64"/>
        <v>183.05733333333336</v>
      </c>
    </row>
    <row r="111" spans="4:16" x14ac:dyDescent="0.25">
      <c r="D111" s="1" t="str">
        <f>'Historical FS'!D114</f>
        <v>Shareholder's Equity</v>
      </c>
      <c r="F111" s="15" t="s">
        <v>20</v>
      </c>
      <c r="I111" s="111">
        <f t="shared" ref="I111" si="65">SUM(I107:I110)</f>
        <v>105.13041666666636</v>
      </c>
      <c r="J111" s="111">
        <f t="shared" ref="J111" si="66">SUM(J107:J110)</f>
        <v>135.29809999999972</v>
      </c>
      <c r="K111" s="111">
        <f t="shared" ref="K111" si="67">SUM(K107:K110)</f>
        <v>230.58268333333336</v>
      </c>
      <c r="L111" s="111">
        <f ca="1">SUM(L107:L110)</f>
        <v>362.08675189063808</v>
      </c>
      <c r="M111" s="111">
        <f t="shared" ref="M111" ca="1" si="68">SUM(M107:M110)</f>
        <v>587.61732489742587</v>
      </c>
      <c r="N111" s="111">
        <f t="shared" ref="N111" ca="1" si="69">SUM(N107:N110)</f>
        <v>688.15639382706217</v>
      </c>
      <c r="O111" s="111">
        <f t="shared" ref="O111" ca="1" si="70">SUM(O107:O110)</f>
        <v>794.28494368056886</v>
      </c>
      <c r="P111" s="111">
        <f t="shared" ref="P111" ca="1" si="71">SUM(P107:P110)</f>
        <v>959.04958622098275</v>
      </c>
    </row>
    <row r="112" spans="4:16" x14ac:dyDescent="0.25">
      <c r="F112" s="15"/>
    </row>
    <row r="113" spans="1:16" ht="14.4" thickBot="1" x14ac:dyDescent="0.3">
      <c r="D113" s="1" t="str">
        <f>'Historical FS'!D116</f>
        <v>Total Liabilities and Equity</v>
      </c>
      <c r="F113" s="15" t="s">
        <v>20</v>
      </c>
      <c r="I113" s="114">
        <f>I105+I111</f>
        <v>230.83374999999972</v>
      </c>
      <c r="J113" s="114">
        <f t="shared" ref="J113:P113" si="72">J105+J111</f>
        <v>275.26643333333305</v>
      </c>
      <c r="K113" s="114">
        <f t="shared" si="72"/>
        <v>357.08935000000002</v>
      </c>
      <c r="L113" s="114">
        <f ca="1">L105+L111</f>
        <v>472.65956414634582</v>
      </c>
      <c r="M113" s="114">
        <f t="shared" ca="1" si="72"/>
        <v>794.20084455537108</v>
      </c>
      <c r="N113" s="114">
        <f t="shared" ca="1" si="72"/>
        <v>911.96290455527037</v>
      </c>
      <c r="O113" s="114">
        <f t="shared" ca="1" si="72"/>
        <v>1387.3472637247974</v>
      </c>
      <c r="P113" s="114">
        <f t="shared" ca="1" si="72"/>
        <v>1322.9670194427808</v>
      </c>
    </row>
    <row r="114" spans="1:16" ht="14.4" thickTop="1" x14ac:dyDescent="0.25">
      <c r="C114" s="1"/>
      <c r="F114" s="15"/>
    </row>
    <row r="115" spans="1:16" x14ac:dyDescent="0.25">
      <c r="C115" s="1"/>
      <c r="D115" t="s">
        <v>146</v>
      </c>
      <c r="F115" s="15">
        <f ca="1">ROUND(SUM(I115:P115),0)</f>
        <v>0</v>
      </c>
      <c r="I115">
        <f>I91-I113</f>
        <v>3.1263880373444408E-13</v>
      </c>
      <c r="J115">
        <f t="shared" ref="J115:P115" si="73">J91-J113</f>
        <v>0</v>
      </c>
      <c r="K115">
        <f>K91-K113</f>
        <v>0</v>
      </c>
      <c r="L115">
        <f t="shared" ca="1" si="73"/>
        <v>0</v>
      </c>
      <c r="M115">
        <f t="shared" ca="1" si="73"/>
        <v>0</v>
      </c>
      <c r="N115">
        <f t="shared" ca="1" si="73"/>
        <v>0</v>
      </c>
      <c r="O115">
        <f t="shared" ca="1" si="73"/>
        <v>0</v>
      </c>
      <c r="P115">
        <f t="shared" ca="1" si="73"/>
        <v>0</v>
      </c>
    </row>
    <row r="116" spans="1:16" x14ac:dyDescent="0.25">
      <c r="F116" s="15"/>
    </row>
    <row r="117" spans="1:16" ht="16.149999999999999" thickBot="1" x14ac:dyDescent="0.35">
      <c r="A117" s="48" t="s">
        <v>145</v>
      </c>
      <c r="B117" s="14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spans="1:16" x14ac:dyDescent="0.25">
      <c r="F118" s="15"/>
    </row>
    <row r="119" spans="1:16" ht="15.55" x14ac:dyDescent="0.3">
      <c r="B119" s="115" t="s">
        <v>147</v>
      </c>
      <c r="C119" s="39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</row>
    <row r="121" spans="1:16" x14ac:dyDescent="0.25">
      <c r="C121" s="49" t="s">
        <v>240</v>
      </c>
    </row>
    <row r="122" spans="1:16" x14ac:dyDescent="0.25">
      <c r="D122" t="str">
        <f>Input!D28</f>
        <v>Production Capacity</v>
      </c>
      <c r="F122" s="15" t="s">
        <v>215</v>
      </c>
      <c r="L122" s="117">
        <f>Input!L28</f>
        <v>35000000</v>
      </c>
      <c r="M122" s="117">
        <f>Input!M28</f>
        <v>35000000</v>
      </c>
      <c r="N122" s="117">
        <f>Input!N28</f>
        <v>35000000</v>
      </c>
      <c r="O122" s="117">
        <f>Input!O28</f>
        <v>33000000</v>
      </c>
      <c r="P122" s="117">
        <f>Input!P28</f>
        <v>35000000</v>
      </c>
    </row>
    <row r="124" spans="1:16" x14ac:dyDescent="0.25">
      <c r="D124" t="str">
        <f>Input!D29</f>
        <v>Price</v>
      </c>
      <c r="F124" s="15" t="s">
        <v>216</v>
      </c>
      <c r="K124" s="117">
        <f>Input!K29</f>
        <v>15</v>
      </c>
      <c r="L124">
        <f>K124*(1+L126)</f>
        <v>15.374999999999998</v>
      </c>
      <c r="M124">
        <f t="shared" ref="M124:P124" si="74">L124*(1+M126)</f>
        <v>15.713249999999999</v>
      </c>
      <c r="N124">
        <f t="shared" si="74"/>
        <v>16.027514999999998</v>
      </c>
      <c r="O124">
        <f t="shared" si="74"/>
        <v>16.235872694999998</v>
      </c>
      <c r="P124">
        <f t="shared" si="74"/>
        <v>16.641769512374996</v>
      </c>
    </row>
    <row r="126" spans="1:16" x14ac:dyDescent="0.25">
      <c r="D126" t="str">
        <f>Input!D30</f>
        <v>Pricing growth</v>
      </c>
      <c r="F126" s="15" t="s">
        <v>21</v>
      </c>
      <c r="L126" s="58">
        <f>Input!L30</f>
        <v>2.5000000000000001E-2</v>
      </c>
      <c r="M126" s="58">
        <f>Input!M30</f>
        <v>2.1999999999999999E-2</v>
      </c>
      <c r="N126" s="58">
        <f>Input!N30</f>
        <v>0.02</v>
      </c>
      <c r="O126" s="58">
        <f>Input!O30</f>
        <v>1.2999999999999999E-2</v>
      </c>
      <c r="P126" s="58">
        <f>Input!P30</f>
        <v>2.5000000000000001E-2</v>
      </c>
    </row>
    <row r="128" spans="1:16" x14ac:dyDescent="0.25">
      <c r="D128" t="s">
        <v>154</v>
      </c>
      <c r="F128" s="15" t="s">
        <v>215</v>
      </c>
      <c r="K128">
        <f>(K12-K151)*Million/K124</f>
        <v>30766666.666666668</v>
      </c>
      <c r="L128">
        <f>K128*(1+L130)</f>
        <v>31689666.666666668</v>
      </c>
      <c r="M128">
        <f t="shared" ref="M128:P128" si="75">L128*(1+M130)</f>
        <v>32798805</v>
      </c>
      <c r="N128">
        <f t="shared" si="75"/>
        <v>33454781.100000001</v>
      </c>
      <c r="O128">
        <f t="shared" si="75"/>
        <v>34291150.627499998</v>
      </c>
      <c r="P128">
        <f t="shared" si="75"/>
        <v>35319885.146325</v>
      </c>
    </row>
    <row r="130" spans="3:16" x14ac:dyDescent="0.25">
      <c r="D130" t="s">
        <v>92</v>
      </c>
      <c r="F130" s="15" t="s">
        <v>21</v>
      </c>
      <c r="L130" s="58">
        <f>Input!L31</f>
        <v>0.03</v>
      </c>
      <c r="M130" s="58">
        <f>Input!M31</f>
        <v>3.5000000000000003E-2</v>
      </c>
      <c r="N130" s="58">
        <f>Input!N31</f>
        <v>0.02</v>
      </c>
      <c r="O130" s="58">
        <f>Input!O31</f>
        <v>2.5000000000000001E-2</v>
      </c>
      <c r="P130" s="58">
        <f>Input!P31</f>
        <v>0.03</v>
      </c>
    </row>
    <row r="132" spans="3:16" x14ac:dyDescent="0.25">
      <c r="D132" t="s">
        <v>247</v>
      </c>
      <c r="F132" s="15" t="s">
        <v>215</v>
      </c>
      <c r="L132">
        <f>MIN(L122,L128)</f>
        <v>31689666.666666668</v>
      </c>
      <c r="M132">
        <f t="shared" ref="M132:P132" si="76">MIN(M122,M128)</f>
        <v>32798805</v>
      </c>
      <c r="N132">
        <f t="shared" si="76"/>
        <v>33454781.100000001</v>
      </c>
      <c r="O132">
        <f t="shared" si="76"/>
        <v>33000000</v>
      </c>
      <c r="P132">
        <f t="shared" si="76"/>
        <v>35000000</v>
      </c>
    </row>
    <row r="134" spans="3:16" x14ac:dyDescent="0.25">
      <c r="D134" s="66" t="s">
        <v>248</v>
      </c>
      <c r="E134" s="9"/>
      <c r="F134" s="9"/>
      <c r="G134" s="9"/>
      <c r="H134" s="9"/>
      <c r="I134" s="9"/>
      <c r="J134" s="9"/>
      <c r="K134" s="9">
        <f>(K124*K128)/Million</f>
        <v>461.5</v>
      </c>
      <c r="L134" s="9">
        <f>(L124*L132)/Million</f>
        <v>487.22862499999997</v>
      </c>
      <c r="M134" s="9">
        <f>(M124*M132)/Million</f>
        <v>515.37582266624997</v>
      </c>
      <c r="N134" s="9">
        <f>(N124*N132)/Million</f>
        <v>536.19700590196646</v>
      </c>
      <c r="O134" s="9">
        <f>(O124*O132)/Million</f>
        <v>535.78379893499994</v>
      </c>
      <c r="P134" s="9">
        <f>(P124*P132)/Million</f>
        <v>582.4619329331249</v>
      </c>
    </row>
    <row r="136" spans="3:16" x14ac:dyDescent="0.25">
      <c r="C136" s="49" t="s">
        <v>246</v>
      </c>
    </row>
    <row r="137" spans="3:16" x14ac:dyDescent="0.25">
      <c r="D137" t="s">
        <v>148</v>
      </c>
      <c r="F137" s="124" t="s">
        <v>215</v>
      </c>
      <c r="M137" s="117">
        <f>Input!M34</f>
        <v>4600000</v>
      </c>
      <c r="N137" s="117">
        <f>Input!N34</f>
        <v>4600000</v>
      </c>
      <c r="O137" s="117">
        <f>Input!O34</f>
        <v>4000000</v>
      </c>
      <c r="P137" s="117">
        <f>Input!P34</f>
        <v>3800000</v>
      </c>
    </row>
    <row r="138" spans="3:16" x14ac:dyDescent="0.25">
      <c r="F138" s="124"/>
    </row>
    <row r="139" spans="3:16" x14ac:dyDescent="0.25">
      <c r="D139" t="s">
        <v>245</v>
      </c>
      <c r="F139" s="124" t="s">
        <v>216</v>
      </c>
      <c r="M139" s="117">
        <f>Input!M35</f>
        <v>18</v>
      </c>
      <c r="N139">
        <f>M139*(1+N141)</f>
        <v>18.504000000000001</v>
      </c>
      <c r="O139">
        <f t="shared" ref="O139:P139" si="77">N139*(1+O141)</f>
        <v>18.744551999999999</v>
      </c>
      <c r="P139">
        <f t="shared" si="77"/>
        <v>19.11944304</v>
      </c>
    </row>
    <row r="140" spans="3:16" x14ac:dyDescent="0.25">
      <c r="F140" s="124"/>
    </row>
    <row r="141" spans="3:16" x14ac:dyDescent="0.25">
      <c r="D141" t="s">
        <v>91</v>
      </c>
      <c r="F141" s="124" t="s">
        <v>21</v>
      </c>
      <c r="N141" s="58">
        <f>Input!N36</f>
        <v>2.8000000000000001E-2</v>
      </c>
      <c r="O141" s="58">
        <f>Input!O36</f>
        <v>1.2999999999999999E-2</v>
      </c>
      <c r="P141" s="58">
        <f>Input!P36</f>
        <v>0.02</v>
      </c>
    </row>
    <row r="142" spans="3:16" x14ac:dyDescent="0.25">
      <c r="F142" s="124"/>
    </row>
    <row r="143" spans="3:16" x14ac:dyDescent="0.25">
      <c r="D143" t="s">
        <v>154</v>
      </c>
      <c r="F143" s="124" t="s">
        <v>215</v>
      </c>
      <c r="M143" s="117">
        <f>Input!M37</f>
        <v>3500000</v>
      </c>
      <c r="N143">
        <f>M143*(1+N145)</f>
        <v>3570000</v>
      </c>
      <c r="O143">
        <f t="shared" ref="O143:P143" si="78">N143*(1+O145)</f>
        <v>3659249.9999999995</v>
      </c>
      <c r="P143">
        <f t="shared" si="78"/>
        <v>3769027.4999999995</v>
      </c>
    </row>
    <row r="144" spans="3:16" x14ac:dyDescent="0.25">
      <c r="F144" s="124"/>
    </row>
    <row r="145" spans="2:16" x14ac:dyDescent="0.25">
      <c r="D145" t="s">
        <v>92</v>
      </c>
      <c r="F145" s="124" t="s">
        <v>21</v>
      </c>
      <c r="N145" s="58">
        <f>Input!N38</f>
        <v>0.02</v>
      </c>
      <c r="O145" s="58">
        <f>Input!O38</f>
        <v>2.5000000000000001E-2</v>
      </c>
      <c r="P145" s="58">
        <f>Input!P38</f>
        <v>0.03</v>
      </c>
    </row>
    <row r="146" spans="2:16" x14ac:dyDescent="0.25">
      <c r="F146" s="124"/>
    </row>
    <row r="147" spans="2:16" x14ac:dyDescent="0.25">
      <c r="D147" t="s">
        <v>247</v>
      </c>
      <c r="F147" s="124" t="s">
        <v>215</v>
      </c>
      <c r="M147">
        <f>MIN(M137,M143)</f>
        <v>3500000</v>
      </c>
      <c r="N147">
        <f t="shared" ref="N147:P147" si="79">MIN(N137,N143)</f>
        <v>3570000</v>
      </c>
      <c r="O147">
        <f t="shared" si="79"/>
        <v>3659249.9999999995</v>
      </c>
      <c r="P147">
        <f t="shared" si="79"/>
        <v>3769027.4999999995</v>
      </c>
    </row>
    <row r="149" spans="2:16" x14ac:dyDescent="0.25">
      <c r="D149" s="66" t="s">
        <v>249</v>
      </c>
      <c r="E149" s="9"/>
      <c r="F149" s="9"/>
      <c r="G149" s="9"/>
      <c r="H149" s="9"/>
      <c r="I149" s="9"/>
      <c r="J149" s="9"/>
      <c r="K149" s="9"/>
      <c r="L149" s="9"/>
      <c r="M149" s="9">
        <f>(M139*M147)/Million</f>
        <v>63</v>
      </c>
      <c r="N149" s="9">
        <f>(N139*N147)/Million</f>
        <v>66.059280000000001</v>
      </c>
      <c r="O149" s="9">
        <f>(O139*O147)/Million</f>
        <v>68.591001905999988</v>
      </c>
      <c r="P149" s="9">
        <f>(P139*P147)/Million</f>
        <v>72.061706602443593</v>
      </c>
    </row>
    <row r="150" spans="2:16" x14ac:dyDescent="0.25">
      <c r="F150" s="97"/>
    </row>
    <row r="151" spans="2:16" x14ac:dyDescent="0.25">
      <c r="D151" t="s">
        <v>94</v>
      </c>
      <c r="F151" s="15" t="s">
        <v>20</v>
      </c>
      <c r="K151" s="55">
        <f>Input!K41</f>
        <v>70.5</v>
      </c>
      <c r="L151">
        <f>K151*(1+L152)</f>
        <v>72.262499999999989</v>
      </c>
      <c r="M151">
        <f t="shared" ref="M151:P151" si="80">L151*(1+M152)</f>
        <v>74.069062499999987</v>
      </c>
      <c r="N151">
        <f t="shared" si="80"/>
        <v>75.920789062499978</v>
      </c>
      <c r="O151">
        <f t="shared" si="80"/>
        <v>77.818808789062473</v>
      </c>
      <c r="P151">
        <f t="shared" si="80"/>
        <v>79.764279008789032</v>
      </c>
    </row>
    <row r="152" spans="2:16" x14ac:dyDescent="0.25">
      <c r="D152" t="s">
        <v>142</v>
      </c>
      <c r="F152" s="15" t="s">
        <v>21</v>
      </c>
      <c r="L152" s="62">
        <f>Input!L42</f>
        <v>2.5000000000000001E-2</v>
      </c>
      <c r="M152" s="62">
        <f>Input!M42</f>
        <v>2.5000000000000001E-2</v>
      </c>
      <c r="N152" s="62">
        <f>Input!N42</f>
        <v>2.5000000000000001E-2</v>
      </c>
      <c r="O152" s="62">
        <f>Input!O42</f>
        <v>2.5000000000000001E-2</v>
      </c>
      <c r="P152" s="62">
        <f>Input!P42</f>
        <v>2.5000000000000001E-2</v>
      </c>
    </row>
    <row r="153" spans="2:16" x14ac:dyDescent="0.25">
      <c r="F153" s="97"/>
    </row>
    <row r="154" spans="2:16" x14ac:dyDescent="0.25">
      <c r="D154" s="1" t="s">
        <v>149</v>
      </c>
      <c r="F154" s="97"/>
    </row>
    <row r="155" spans="2:16" x14ac:dyDescent="0.25">
      <c r="D155" t="s">
        <v>151</v>
      </c>
      <c r="F155" s="15" t="s">
        <v>20</v>
      </c>
      <c r="K155">
        <f t="shared" ref="K155:P155" si="81">K134+K149</f>
        <v>461.5</v>
      </c>
      <c r="L155">
        <f t="shared" si="81"/>
        <v>487.22862499999997</v>
      </c>
      <c r="M155">
        <f t="shared" si="81"/>
        <v>578.37582266624997</v>
      </c>
      <c r="N155">
        <f t="shared" si="81"/>
        <v>602.25628590196652</v>
      </c>
      <c r="O155">
        <f t="shared" si="81"/>
        <v>604.37480084099991</v>
      </c>
      <c r="P155">
        <f t="shared" si="81"/>
        <v>654.52363953556846</v>
      </c>
    </row>
    <row r="156" spans="2:16" x14ac:dyDescent="0.25">
      <c r="D156" t="s">
        <v>150</v>
      </c>
      <c r="F156" s="15" t="s">
        <v>20</v>
      </c>
      <c r="K156">
        <f>K151</f>
        <v>70.5</v>
      </c>
      <c r="L156">
        <f t="shared" ref="L156:P156" si="82">L151</f>
        <v>72.262499999999989</v>
      </c>
      <c r="M156">
        <f t="shared" si="82"/>
        <v>74.069062499999987</v>
      </c>
      <c r="N156">
        <f t="shared" si="82"/>
        <v>75.920789062499978</v>
      </c>
      <c r="O156">
        <f t="shared" si="82"/>
        <v>77.818808789062473</v>
      </c>
      <c r="P156">
        <f t="shared" si="82"/>
        <v>79.764279008789032</v>
      </c>
    </row>
    <row r="157" spans="2:16" x14ac:dyDescent="0.25">
      <c r="D157" s="1" t="s">
        <v>149</v>
      </c>
      <c r="F157" s="15" t="s">
        <v>20</v>
      </c>
      <c r="K157" s="111">
        <f t="shared" ref="K157:P157" si="83">SUM(K155:K156)</f>
        <v>532</v>
      </c>
      <c r="L157" s="111">
        <f t="shared" si="83"/>
        <v>559.49112500000001</v>
      </c>
      <c r="M157" s="111">
        <f t="shared" si="83"/>
        <v>652.44488516624995</v>
      </c>
      <c r="N157" s="111">
        <f t="shared" si="83"/>
        <v>678.17707496446656</v>
      </c>
      <c r="O157" s="111">
        <f t="shared" si="83"/>
        <v>682.19360963006238</v>
      </c>
      <c r="P157" s="111">
        <f t="shared" si="83"/>
        <v>734.28791854435747</v>
      </c>
    </row>
    <row r="158" spans="2:16" x14ac:dyDescent="0.25">
      <c r="F158" s="97"/>
    </row>
    <row r="159" spans="2:16" ht="15.55" x14ac:dyDescent="0.3">
      <c r="B159" s="115" t="s">
        <v>152</v>
      </c>
      <c r="C159" s="39"/>
      <c r="D159" s="39"/>
      <c r="E159" s="39"/>
      <c r="F159" s="31"/>
      <c r="G159" s="39"/>
      <c r="H159" s="39"/>
      <c r="I159" s="39"/>
      <c r="J159" s="39"/>
      <c r="K159" s="39"/>
      <c r="L159" s="39"/>
      <c r="M159" s="39"/>
      <c r="N159" s="39"/>
      <c r="O159" s="39"/>
      <c r="P159" s="39"/>
    </row>
    <row r="160" spans="2:16" x14ac:dyDescent="0.25">
      <c r="F160" s="15"/>
    </row>
    <row r="161" spans="3:16" x14ac:dyDescent="0.25">
      <c r="D161" t="s">
        <v>153</v>
      </c>
      <c r="F161" s="15" t="s">
        <v>21</v>
      </c>
      <c r="L161" s="58">
        <f>Input!L58</f>
        <v>0.02</v>
      </c>
      <c r="M161" s="58">
        <f>Input!M58</f>
        <v>3.5000000000000003E-2</v>
      </c>
      <c r="N161" s="58">
        <f>Input!N58</f>
        <v>0.03</v>
      </c>
      <c r="O161" s="58">
        <f>Input!O58</f>
        <v>3.2000000000000001E-2</v>
      </c>
      <c r="P161" s="58">
        <f>Input!P58</f>
        <v>3.5000000000000003E-2</v>
      </c>
    </row>
    <row r="162" spans="3:16" x14ac:dyDescent="0.25">
      <c r="D162" t="s">
        <v>154</v>
      </c>
      <c r="F162" s="116" t="s">
        <v>215</v>
      </c>
      <c r="K162" s="117">
        <f>K128</f>
        <v>30766666.666666668</v>
      </c>
      <c r="L162" s="117">
        <f>L132+L147</f>
        <v>31689666.666666668</v>
      </c>
      <c r="M162" s="117">
        <f>M132+M147</f>
        <v>36298805</v>
      </c>
      <c r="N162" s="117">
        <f>N132+N147</f>
        <v>37024781.100000001</v>
      </c>
      <c r="O162" s="117">
        <f>O132+O147</f>
        <v>36659250</v>
      </c>
      <c r="P162" s="117">
        <f>P132+P147</f>
        <v>38769027.5</v>
      </c>
    </row>
    <row r="163" spans="3:16" x14ac:dyDescent="0.25">
      <c r="F163" s="15"/>
    </row>
    <row r="164" spans="3:16" x14ac:dyDescent="0.25">
      <c r="C164" s="49" t="s">
        <v>237</v>
      </c>
      <c r="F164" s="15"/>
    </row>
    <row r="165" spans="3:16" x14ac:dyDescent="0.25">
      <c r="F165" s="15"/>
    </row>
    <row r="166" spans="3:16" x14ac:dyDescent="0.25">
      <c r="D166" s="1" t="s">
        <v>97</v>
      </c>
      <c r="F166" s="15"/>
    </row>
    <row r="167" spans="3:16" x14ac:dyDescent="0.25">
      <c r="D167" t="str">
        <f>Input!D47</f>
        <v>Wheat</v>
      </c>
      <c r="F167" s="15" t="s">
        <v>216</v>
      </c>
      <c r="L167" s="117">
        <f>Input!L47</f>
        <v>2.8</v>
      </c>
      <c r="M167">
        <f>L167*(1+M$161)</f>
        <v>2.8979999999999997</v>
      </c>
      <c r="N167">
        <f t="shared" ref="N167:P167" si="84">M167*(1+N$161)</f>
        <v>2.9849399999999999</v>
      </c>
      <c r="O167">
        <f t="shared" si="84"/>
        <v>3.0804580800000001</v>
      </c>
      <c r="P167">
        <f t="shared" si="84"/>
        <v>3.1882741127999998</v>
      </c>
    </row>
    <row r="168" spans="3:16" x14ac:dyDescent="0.25">
      <c r="D168" t="str">
        <f>Input!D48</f>
        <v>Potatoes Starch</v>
      </c>
      <c r="F168" s="15" t="s">
        <v>216</v>
      </c>
      <c r="L168" s="117">
        <f>Input!L48</f>
        <v>1.2</v>
      </c>
      <c r="M168">
        <f t="shared" ref="M168:P169" si="85">L168*(1+M$161)</f>
        <v>1.2419999999999998</v>
      </c>
      <c r="N168">
        <f t="shared" si="85"/>
        <v>1.2792599999999998</v>
      </c>
      <c r="O168">
        <f t="shared" si="85"/>
        <v>1.32019632</v>
      </c>
      <c r="P168">
        <f t="shared" si="85"/>
        <v>1.3664031911999999</v>
      </c>
    </row>
    <row r="169" spans="3:16" x14ac:dyDescent="0.25">
      <c r="D169" t="str">
        <f>Input!D49</f>
        <v>Other raw materials</v>
      </c>
      <c r="F169" s="15" t="s">
        <v>216</v>
      </c>
      <c r="L169" s="117">
        <f>Input!L49</f>
        <v>1.9</v>
      </c>
      <c r="M169">
        <f t="shared" si="85"/>
        <v>1.9664999999999997</v>
      </c>
      <c r="N169">
        <f t="shared" si="85"/>
        <v>2.0254949999999998</v>
      </c>
      <c r="O169">
        <f t="shared" si="85"/>
        <v>2.0903108399999999</v>
      </c>
      <c r="P169">
        <f t="shared" si="85"/>
        <v>2.1634717193999999</v>
      </c>
    </row>
    <row r="170" spans="3:16" x14ac:dyDescent="0.25">
      <c r="D170" s="1" t="str">
        <f>Input!D50</f>
        <v>Total Variable Cost per unit</v>
      </c>
      <c r="F170" s="15" t="s">
        <v>216</v>
      </c>
      <c r="L170" s="111">
        <f>SUM(L167:L169)</f>
        <v>5.9</v>
      </c>
      <c r="M170" s="111">
        <f>SUM(M167:M169)</f>
        <v>6.1064999999999996</v>
      </c>
      <c r="N170" s="111">
        <f>SUM(N167:N169)</f>
        <v>6.289695</v>
      </c>
      <c r="O170" s="111">
        <f>SUM(O167:O169)</f>
        <v>6.4909652400000004</v>
      </c>
      <c r="P170" s="111">
        <f>SUM(P167:P169)</f>
        <v>6.7181490234000005</v>
      </c>
    </row>
    <row r="171" spans="3:16" x14ac:dyDescent="0.25">
      <c r="D171" s="1"/>
      <c r="F171" s="15"/>
    </row>
    <row r="172" spans="3:16" x14ac:dyDescent="0.25">
      <c r="D172" s="1" t="s">
        <v>101</v>
      </c>
      <c r="F172" s="15"/>
    </row>
    <row r="173" spans="3:16" x14ac:dyDescent="0.25">
      <c r="D173" t="str">
        <f>Input!D53</f>
        <v>Capital Charges</v>
      </c>
      <c r="F173" s="15" t="s">
        <v>216</v>
      </c>
      <c r="L173">
        <f t="shared" ref="L173:P175" si="86">L186/L$162*Million</f>
        <v>0.33133829113591179</v>
      </c>
      <c r="M173">
        <f t="shared" si="86"/>
        <v>0.29939002124174613</v>
      </c>
      <c r="N173">
        <f t="shared" si="86"/>
        <v>0.30232521752842989</v>
      </c>
      <c r="O173">
        <f t="shared" si="86"/>
        <v>0.31511058736880865</v>
      </c>
      <c r="P173">
        <f t="shared" si="86"/>
        <v>0.30839122603733088</v>
      </c>
    </row>
    <row r="174" spans="3:16" x14ac:dyDescent="0.25">
      <c r="D174" t="str">
        <f>Input!D54</f>
        <v>Labour</v>
      </c>
      <c r="F174" s="15" t="s">
        <v>216</v>
      </c>
      <c r="L174">
        <f t="shared" si="86"/>
        <v>0.10097928872713503</v>
      </c>
      <c r="M174">
        <f t="shared" si="86"/>
        <v>9.1242673140341665E-2</v>
      </c>
      <c r="N174">
        <f t="shared" si="86"/>
        <v>9.2137209151521474E-2</v>
      </c>
      <c r="O174">
        <f t="shared" si="86"/>
        <v>9.603370281716074E-2</v>
      </c>
      <c r="P174">
        <f t="shared" si="86"/>
        <v>9.398589745899609E-2</v>
      </c>
    </row>
    <row r="175" spans="3:16" x14ac:dyDescent="0.25">
      <c r="D175" t="str">
        <f>Input!D55</f>
        <v>Other Costs</v>
      </c>
      <c r="F175" s="15" t="s">
        <v>216</v>
      </c>
      <c r="L175">
        <f t="shared" si="86"/>
        <v>0.16093574140887143</v>
      </c>
      <c r="M175">
        <f t="shared" si="86"/>
        <v>0.14541801031741952</v>
      </c>
      <c r="N175">
        <f t="shared" si="86"/>
        <v>0.14684367708523735</v>
      </c>
      <c r="O175">
        <f t="shared" si="86"/>
        <v>0.15305371386484995</v>
      </c>
      <c r="P175">
        <f t="shared" si="86"/>
        <v>0.14979002407527503</v>
      </c>
    </row>
    <row r="176" spans="3:16" x14ac:dyDescent="0.25">
      <c r="D176" s="1"/>
      <c r="F176" s="15"/>
    </row>
    <row r="177" spans="3:16" x14ac:dyDescent="0.25">
      <c r="C177" s="49" t="s">
        <v>99</v>
      </c>
      <c r="D177" s="1"/>
      <c r="F177" s="15"/>
    </row>
    <row r="178" spans="3:16" x14ac:dyDescent="0.25">
      <c r="D178" s="1"/>
      <c r="F178" s="15"/>
    </row>
    <row r="179" spans="3:16" x14ac:dyDescent="0.25">
      <c r="D179" s="1" t="str">
        <f>D166</f>
        <v>Variable Cost</v>
      </c>
      <c r="F179" s="15"/>
    </row>
    <row r="180" spans="3:16" x14ac:dyDescent="0.25">
      <c r="D180" t="str">
        <f>D167</f>
        <v>Wheat</v>
      </c>
      <c r="F180" s="15" t="s">
        <v>20</v>
      </c>
      <c r="L180">
        <f t="shared" ref="L180:P182" si="87">L167*$L$162/Million</f>
        <v>88.731066666666678</v>
      </c>
      <c r="M180">
        <f t="shared" si="87"/>
        <v>91.836653999999996</v>
      </c>
      <c r="N180">
        <f t="shared" si="87"/>
        <v>94.591753620000006</v>
      </c>
      <c r="O180">
        <f t="shared" si="87"/>
        <v>97.618689735840007</v>
      </c>
      <c r="P180">
        <f t="shared" si="87"/>
        <v>101.0353438765944</v>
      </c>
    </row>
    <row r="181" spans="3:16" x14ac:dyDescent="0.25">
      <c r="D181" t="str">
        <f>D168</f>
        <v>Potatoes Starch</v>
      </c>
      <c r="F181" s="15" t="s">
        <v>20</v>
      </c>
      <c r="L181">
        <f t="shared" si="87"/>
        <v>38.0276</v>
      </c>
      <c r="M181">
        <f t="shared" si="87"/>
        <v>39.358565999999989</v>
      </c>
      <c r="N181">
        <f t="shared" si="87"/>
        <v>40.539322979999994</v>
      </c>
      <c r="O181">
        <f t="shared" si="87"/>
        <v>41.83658131536</v>
      </c>
      <c r="P181">
        <f t="shared" si="87"/>
        <v>43.300861661397597</v>
      </c>
    </row>
    <row r="182" spans="3:16" x14ac:dyDescent="0.25">
      <c r="D182" t="str">
        <f>D169</f>
        <v>Other raw materials</v>
      </c>
      <c r="F182" s="15" t="s">
        <v>20</v>
      </c>
      <c r="L182">
        <f t="shared" si="87"/>
        <v>60.210366666666665</v>
      </c>
      <c r="M182">
        <f t="shared" si="87"/>
        <v>62.317729499999992</v>
      </c>
      <c r="N182">
        <f t="shared" si="87"/>
        <v>64.187261384999999</v>
      </c>
      <c r="O182">
        <f t="shared" si="87"/>
        <v>66.241253749319995</v>
      </c>
      <c r="P182">
        <f t="shared" si="87"/>
        <v>68.559697630546196</v>
      </c>
    </row>
    <row r="183" spans="3:16" x14ac:dyDescent="0.25">
      <c r="D183" s="1" t="s">
        <v>100</v>
      </c>
      <c r="F183" s="15" t="s">
        <v>20</v>
      </c>
      <c r="L183" s="111">
        <f>SUM(L180:L182)</f>
        <v>186.96903333333333</v>
      </c>
      <c r="M183" s="111">
        <f>SUM(M180:M182)</f>
        <v>193.51294949999996</v>
      </c>
      <c r="N183" s="111">
        <f>SUM(N180:N182)</f>
        <v>199.318337985</v>
      </c>
      <c r="O183" s="111">
        <f>SUM(O180:O182)</f>
        <v>205.69652480052002</v>
      </c>
      <c r="P183" s="111">
        <f>SUM(P180:P182)</f>
        <v>212.89590316853818</v>
      </c>
    </row>
    <row r="184" spans="3:16" x14ac:dyDescent="0.25">
      <c r="F184" s="15"/>
    </row>
    <row r="185" spans="3:16" x14ac:dyDescent="0.25">
      <c r="D185" s="1" t="s">
        <v>101</v>
      </c>
      <c r="F185" s="15"/>
    </row>
    <row r="186" spans="3:16" x14ac:dyDescent="0.25">
      <c r="D186" t="str">
        <f>D173</f>
        <v>Capital Charges</v>
      </c>
      <c r="F186" s="15" t="s">
        <v>20</v>
      </c>
      <c r="L186">
        <f>Input!L53</f>
        <v>10.5</v>
      </c>
      <c r="M186">
        <f>L186*(1+M$161)</f>
        <v>10.8675</v>
      </c>
      <c r="N186">
        <f t="shared" ref="N186:P186" si="88">M186*(1+N$161)</f>
        <v>11.193524999999999</v>
      </c>
      <c r="O186">
        <f t="shared" si="88"/>
        <v>11.551717799999999</v>
      </c>
      <c r="P186">
        <f t="shared" si="88"/>
        <v>11.956027922999997</v>
      </c>
    </row>
    <row r="187" spans="3:16" x14ac:dyDescent="0.25">
      <c r="D187" t="str">
        <f>D174</f>
        <v>Labour</v>
      </c>
      <c r="F187" s="15" t="s">
        <v>20</v>
      </c>
      <c r="L187">
        <f>Input!L54</f>
        <v>3.2</v>
      </c>
      <c r="M187">
        <f t="shared" ref="M187:P187" si="89">L187*(1+M$161)</f>
        <v>3.3119999999999998</v>
      </c>
      <c r="N187">
        <f t="shared" si="89"/>
        <v>3.4113599999999997</v>
      </c>
      <c r="O187">
        <f t="shared" si="89"/>
        <v>3.5205235199999998</v>
      </c>
      <c r="P187">
        <f t="shared" si="89"/>
        <v>3.6437418431999995</v>
      </c>
    </row>
    <row r="188" spans="3:16" x14ac:dyDescent="0.25">
      <c r="D188" t="str">
        <f>D175</f>
        <v>Other Costs</v>
      </c>
      <c r="F188" s="15" t="s">
        <v>20</v>
      </c>
      <c r="L188">
        <f>Input!L55</f>
        <v>5.0999999999999996</v>
      </c>
      <c r="M188">
        <f t="shared" ref="M188:P188" si="90">L188*(1+M$161)</f>
        <v>5.2784999999999993</v>
      </c>
      <c r="N188">
        <f t="shared" si="90"/>
        <v>5.4368549999999995</v>
      </c>
      <c r="O188">
        <f t="shared" si="90"/>
        <v>5.6108343600000001</v>
      </c>
      <c r="P188">
        <f t="shared" si="90"/>
        <v>5.8072135625999994</v>
      </c>
    </row>
    <row r="189" spans="3:16" x14ac:dyDescent="0.25">
      <c r="D189" t="s">
        <v>102</v>
      </c>
      <c r="F189" s="15" t="s">
        <v>20</v>
      </c>
      <c r="L189" s="111">
        <f t="shared" ref="L189:P189" si="91">SUM(L186:L188)</f>
        <v>18.799999999999997</v>
      </c>
      <c r="M189" s="111">
        <f t="shared" si="91"/>
        <v>19.457999999999998</v>
      </c>
      <c r="N189" s="111">
        <f t="shared" si="91"/>
        <v>20.041739999999997</v>
      </c>
      <c r="O189" s="111">
        <f t="shared" si="91"/>
        <v>20.683075679999998</v>
      </c>
      <c r="P189" s="111">
        <f t="shared" si="91"/>
        <v>21.406983328799996</v>
      </c>
    </row>
    <row r="190" spans="3:16" x14ac:dyDescent="0.25">
      <c r="F190" s="15"/>
      <c r="L190" s="122"/>
      <c r="M190" s="122"/>
      <c r="N190" s="122"/>
      <c r="O190" s="122"/>
      <c r="P190" s="122"/>
    </row>
    <row r="191" spans="3:16" x14ac:dyDescent="0.25">
      <c r="D191" s="66" t="s">
        <v>238</v>
      </c>
      <c r="E191" s="9"/>
      <c r="F191" s="67" t="s">
        <v>20</v>
      </c>
      <c r="G191" s="9"/>
      <c r="H191" s="9"/>
      <c r="I191" s="9"/>
      <c r="J191" s="9"/>
      <c r="K191" s="9"/>
      <c r="L191" s="9">
        <f>L183+L189</f>
        <v>205.76903333333331</v>
      </c>
      <c r="M191" s="9">
        <f t="shared" ref="M191:P191" si="92">M183+M189</f>
        <v>212.97094949999996</v>
      </c>
      <c r="N191" s="9">
        <f t="shared" si="92"/>
        <v>219.360077985</v>
      </c>
      <c r="O191" s="9">
        <f t="shared" si="92"/>
        <v>226.37960048052003</v>
      </c>
      <c r="P191" s="10">
        <f t="shared" si="92"/>
        <v>234.30288649733819</v>
      </c>
    </row>
    <row r="192" spans="3:16" x14ac:dyDescent="0.25">
      <c r="D192" s="1"/>
      <c r="F192" s="15"/>
    </row>
    <row r="193" spans="2:16" x14ac:dyDescent="0.25">
      <c r="D193" s="66" t="s">
        <v>13</v>
      </c>
      <c r="E193" s="9"/>
      <c r="F193" s="67" t="s">
        <v>20</v>
      </c>
      <c r="G193" s="9"/>
      <c r="H193" s="9"/>
      <c r="I193" s="9"/>
      <c r="J193" s="9"/>
      <c r="K193" s="9"/>
      <c r="L193" s="9">
        <f>Input!L60</f>
        <v>125.2</v>
      </c>
      <c r="M193" s="9">
        <f>L193*(1+M161)</f>
        <v>129.58199999999999</v>
      </c>
      <c r="N193" s="9">
        <f>M193*(1+N161)</f>
        <v>133.46946</v>
      </c>
      <c r="O193" s="9">
        <f>N193*(1+O161)</f>
        <v>137.74048271999999</v>
      </c>
      <c r="P193" s="10">
        <f>O193*(1+P161)</f>
        <v>142.56139961519997</v>
      </c>
    </row>
    <row r="194" spans="2:16" x14ac:dyDescent="0.25">
      <c r="F194" s="15"/>
    </row>
    <row r="195" spans="2:16" ht="15.55" x14ac:dyDescent="0.3">
      <c r="B195" s="115" t="s">
        <v>155</v>
      </c>
      <c r="C195" s="39"/>
      <c r="D195" s="39"/>
      <c r="E195" s="39"/>
      <c r="F195" s="31"/>
      <c r="G195" s="39"/>
      <c r="H195" s="39"/>
      <c r="I195" s="39"/>
      <c r="J195" s="39"/>
      <c r="K195" s="39"/>
      <c r="L195" s="39"/>
      <c r="M195" s="39"/>
      <c r="N195" s="39"/>
      <c r="O195" s="39"/>
      <c r="P195" s="39"/>
    </row>
    <row r="196" spans="2:16" x14ac:dyDescent="0.25">
      <c r="F196" s="15"/>
    </row>
    <row r="197" spans="2:16" x14ac:dyDescent="0.25">
      <c r="D197" t="s">
        <v>103</v>
      </c>
      <c r="F197" s="15" t="s">
        <v>20</v>
      </c>
      <c r="L197" s="55">
        <f>Input!L64</f>
        <v>75</v>
      </c>
      <c r="M197" s="55">
        <f>Input!M64</f>
        <v>550</v>
      </c>
      <c r="N197" s="55">
        <f>Input!N64</f>
        <v>200</v>
      </c>
      <c r="O197" s="55">
        <f>Input!O64</f>
        <v>550</v>
      </c>
      <c r="P197" s="55">
        <f>Input!P64</f>
        <v>25.5</v>
      </c>
    </row>
    <row r="198" spans="2:16" x14ac:dyDescent="0.25">
      <c r="D198" t="s">
        <v>158</v>
      </c>
      <c r="F198" s="15" t="s">
        <v>20</v>
      </c>
      <c r="K198" s="117">
        <f>K85</f>
        <v>35.773333333333333</v>
      </c>
    </row>
    <row r="199" spans="2:16" x14ac:dyDescent="0.25">
      <c r="F199" s="15"/>
    </row>
    <row r="200" spans="2:16" x14ac:dyDescent="0.25">
      <c r="D200" t="s">
        <v>156</v>
      </c>
      <c r="F200" s="15"/>
    </row>
    <row r="201" spans="2:16" x14ac:dyDescent="0.25">
      <c r="D201" t="s">
        <v>106</v>
      </c>
      <c r="F201" s="15" t="s">
        <v>218</v>
      </c>
      <c r="G201" s="55">
        <f>Input!G69</f>
        <v>10</v>
      </c>
    </row>
    <row r="202" spans="2:16" x14ac:dyDescent="0.25">
      <c r="D202" t="s">
        <v>107</v>
      </c>
      <c r="F202" s="15" t="s">
        <v>218</v>
      </c>
      <c r="G202" s="55">
        <f>Input!G70</f>
        <v>15</v>
      </c>
    </row>
    <row r="203" spans="2:16" x14ac:dyDescent="0.25">
      <c r="F203" s="15"/>
    </row>
    <row r="204" spans="2:16" x14ac:dyDescent="0.25">
      <c r="D204" t="s">
        <v>157</v>
      </c>
      <c r="F204" s="15"/>
      <c r="L204">
        <f>$K$198/$G$201</f>
        <v>3.5773333333333333</v>
      </c>
      <c r="M204">
        <f t="shared" ref="M204:P204" si="93">$K$198/$G$201</f>
        <v>3.5773333333333333</v>
      </c>
      <c r="N204">
        <f t="shared" si="93"/>
        <v>3.5773333333333333</v>
      </c>
      <c r="O204">
        <f t="shared" si="93"/>
        <v>3.5773333333333333</v>
      </c>
      <c r="P204">
        <f t="shared" si="93"/>
        <v>3.5773333333333333</v>
      </c>
    </row>
    <row r="205" spans="2:16" x14ac:dyDescent="0.25">
      <c r="F205" s="15"/>
    </row>
    <row r="206" spans="2:16" x14ac:dyDescent="0.25">
      <c r="F206" s="15"/>
      <c r="L206" s="118">
        <f>L6</f>
        <v>2022</v>
      </c>
      <c r="M206" s="118">
        <f>M6</f>
        <v>2023</v>
      </c>
      <c r="N206" s="118">
        <f>N6</f>
        <v>2024</v>
      </c>
      <c r="O206" s="118">
        <f>O6</f>
        <v>2025</v>
      </c>
      <c r="P206" s="118">
        <f>P6</f>
        <v>2026</v>
      </c>
    </row>
    <row r="207" spans="2:16" x14ac:dyDescent="0.25">
      <c r="F207" s="15"/>
      <c r="I207" s="68" t="s">
        <v>103</v>
      </c>
      <c r="J207" s="69" t="s">
        <v>159</v>
      </c>
    </row>
    <row r="208" spans="2:16" x14ac:dyDescent="0.25">
      <c r="F208" s="15"/>
      <c r="I208" s="72">
        <f t="array" ref="I208:I212">TRANSPOSE(L197:P197)</f>
        <v>75</v>
      </c>
      <c r="J208" s="73">
        <f t="array" ref="J208:J212">TRANSPOSE(L206:P206)</f>
        <v>2022</v>
      </c>
      <c r="L208">
        <f>IF(L$206=$J208,$I208/$G$202/2,$I208/$G$202)</f>
        <v>2.5</v>
      </c>
      <c r="M208">
        <f t="shared" ref="M208:P211" si="94">IF(M$206=$J208,$I208/$G$202/2,$I208/$G$202)</f>
        <v>5</v>
      </c>
      <c r="N208">
        <f t="shared" si="94"/>
        <v>5</v>
      </c>
      <c r="O208">
        <f t="shared" si="94"/>
        <v>5</v>
      </c>
      <c r="P208">
        <f t="shared" si="94"/>
        <v>5</v>
      </c>
    </row>
    <row r="209" spans="2:16" x14ac:dyDescent="0.25">
      <c r="F209" s="15"/>
      <c r="I209" s="72">
        <v>550</v>
      </c>
      <c r="J209" s="73">
        <v>2023</v>
      </c>
      <c r="M209">
        <f t="shared" si="94"/>
        <v>18.333333333333332</v>
      </c>
      <c r="N209">
        <f t="shared" si="94"/>
        <v>36.666666666666664</v>
      </c>
      <c r="O209">
        <f t="shared" si="94"/>
        <v>36.666666666666664</v>
      </c>
      <c r="P209">
        <f t="shared" si="94"/>
        <v>36.666666666666664</v>
      </c>
    </row>
    <row r="210" spans="2:16" x14ac:dyDescent="0.25">
      <c r="F210" s="15"/>
      <c r="I210" s="72">
        <v>200</v>
      </c>
      <c r="J210" s="73">
        <v>2024</v>
      </c>
      <c r="N210">
        <f t="shared" si="94"/>
        <v>6.666666666666667</v>
      </c>
      <c r="O210">
        <f t="shared" si="94"/>
        <v>13.333333333333334</v>
      </c>
      <c r="P210">
        <f t="shared" si="94"/>
        <v>13.333333333333334</v>
      </c>
    </row>
    <row r="211" spans="2:16" x14ac:dyDescent="0.25">
      <c r="F211" s="15"/>
      <c r="I211" s="72">
        <v>550</v>
      </c>
      <c r="J211" s="73">
        <v>2025</v>
      </c>
      <c r="O211">
        <f t="shared" si="94"/>
        <v>18.333333333333332</v>
      </c>
      <c r="P211">
        <f t="shared" si="94"/>
        <v>36.666666666666664</v>
      </c>
    </row>
    <row r="212" spans="2:16" x14ac:dyDescent="0.25">
      <c r="F212" s="15"/>
      <c r="I212" s="74">
        <v>25.5</v>
      </c>
      <c r="J212" s="75">
        <v>2026</v>
      </c>
      <c r="P212">
        <f>IF(P$206=$J212,$I212/$G$202/2,$I212/$G$202)</f>
        <v>0.85</v>
      </c>
    </row>
    <row r="213" spans="2:16" x14ac:dyDescent="0.25">
      <c r="D213" t="s">
        <v>160</v>
      </c>
      <c r="F213" s="15" t="s">
        <v>20</v>
      </c>
      <c r="L213" s="111">
        <f>SUM(L208:L212)</f>
        <v>2.5</v>
      </c>
      <c r="M213" s="111">
        <f>SUM(M208:M212)</f>
        <v>23.333333333333332</v>
      </c>
      <c r="N213" s="111">
        <f>SUM(N208:N212)</f>
        <v>48.333333333333329</v>
      </c>
      <c r="O213" s="111">
        <f>SUM(O208:O212)</f>
        <v>73.333333333333329</v>
      </c>
      <c r="P213" s="111">
        <f>SUM(P208:P212)</f>
        <v>92.516666666666652</v>
      </c>
    </row>
    <row r="214" spans="2:16" x14ac:dyDescent="0.25">
      <c r="F214" s="15"/>
      <c r="L214" s="50"/>
      <c r="M214" s="50"/>
      <c r="N214" s="50"/>
      <c r="O214" s="50"/>
      <c r="P214" s="50"/>
    </row>
    <row r="215" spans="2:16" x14ac:dyDescent="0.25">
      <c r="D215" s="1" t="s">
        <v>161</v>
      </c>
      <c r="F215" s="15" t="s">
        <v>20</v>
      </c>
      <c r="L215" s="111">
        <f>L204+L213</f>
        <v>6.0773333333333337</v>
      </c>
      <c r="M215" s="111">
        <f>M204+M213</f>
        <v>26.910666666666664</v>
      </c>
      <c r="N215" s="111">
        <f>N204+N213</f>
        <v>51.910666666666664</v>
      </c>
      <c r="O215" s="111">
        <f>O204+O213</f>
        <v>76.910666666666657</v>
      </c>
      <c r="P215" s="111">
        <f>P204+P213</f>
        <v>96.09399999999998</v>
      </c>
    </row>
    <row r="216" spans="2:16" x14ac:dyDescent="0.25">
      <c r="F216" s="15"/>
    </row>
    <row r="217" spans="2:16" ht="15.55" x14ac:dyDescent="0.3">
      <c r="B217" s="115" t="s">
        <v>162</v>
      </c>
      <c r="C217" s="39"/>
      <c r="D217" s="39"/>
      <c r="E217" s="39"/>
      <c r="F217" s="31"/>
      <c r="G217" s="39"/>
      <c r="H217" s="39"/>
      <c r="I217" s="39"/>
      <c r="J217" s="39"/>
      <c r="K217" s="39"/>
      <c r="L217" s="39"/>
      <c r="M217" s="39"/>
      <c r="N217" s="39"/>
      <c r="O217" s="39"/>
      <c r="P217" s="39"/>
    </row>
    <row r="218" spans="2:16" x14ac:dyDescent="0.25">
      <c r="F218" s="15"/>
    </row>
    <row r="219" spans="2:16" x14ac:dyDescent="0.25">
      <c r="D219" t="s">
        <v>163</v>
      </c>
      <c r="F219" s="15" t="s">
        <v>21</v>
      </c>
      <c r="L219" s="58">
        <f>Input!L96</f>
        <v>0.35</v>
      </c>
      <c r="M219" s="58">
        <f>Input!M96</f>
        <v>0.35</v>
      </c>
      <c r="N219" s="58">
        <f>Input!N96</f>
        <v>0.35</v>
      </c>
      <c r="O219" s="58">
        <f>Input!O96</f>
        <v>0.35</v>
      </c>
      <c r="P219" s="58">
        <f>Input!P96</f>
        <v>0.35</v>
      </c>
    </row>
    <row r="220" spans="2:16" x14ac:dyDescent="0.25">
      <c r="F220" s="15"/>
    </row>
    <row r="221" spans="2:16" x14ac:dyDescent="0.25">
      <c r="D221" t="s">
        <v>164</v>
      </c>
      <c r="F221" s="15" t="s">
        <v>20</v>
      </c>
      <c r="L221" s="117">
        <f ca="1">L26</f>
        <v>218.59603806626603</v>
      </c>
      <c r="M221" s="117">
        <f ca="1">M26</f>
        <v>278.84271386007754</v>
      </c>
      <c r="N221" s="117">
        <f ca="1">N26</f>
        <v>268.60373113771533</v>
      </c>
      <c r="O221" s="117">
        <f ca="1">O26</f>
        <v>228.78728175078319</v>
      </c>
      <c r="P221" s="117">
        <f ca="1">P26</f>
        <v>246.50234367264395</v>
      </c>
    </row>
    <row r="222" spans="2:16" x14ac:dyDescent="0.25">
      <c r="D222" t="s">
        <v>118</v>
      </c>
      <c r="F222" s="15" t="s">
        <v>20</v>
      </c>
      <c r="L222" s="55">
        <f>Input!L98</f>
        <v>30</v>
      </c>
      <c r="M222" s="55">
        <f>Input!M98</f>
        <v>30</v>
      </c>
      <c r="N222" s="55">
        <f>Input!N98</f>
        <v>30</v>
      </c>
      <c r="O222" s="55">
        <f>Input!O98</f>
        <v>30</v>
      </c>
      <c r="P222" s="55">
        <f>Input!P98</f>
        <v>30</v>
      </c>
    </row>
    <row r="223" spans="2:16" x14ac:dyDescent="0.25">
      <c r="D223" t="s">
        <v>165</v>
      </c>
      <c r="F223" s="15" t="s">
        <v>20</v>
      </c>
      <c r="L223">
        <f ca="1">L221-L222</f>
        <v>188.59603806626603</v>
      </c>
      <c r="M223">
        <f t="shared" ref="M223:P223" ca="1" si="95">M221-M222</f>
        <v>248.84271386007754</v>
      </c>
      <c r="N223">
        <f t="shared" ca="1" si="95"/>
        <v>238.60373113771533</v>
      </c>
      <c r="O223">
        <f t="shared" ca="1" si="95"/>
        <v>198.78728175078319</v>
      </c>
      <c r="P223">
        <f t="shared" ca="1" si="95"/>
        <v>216.50234367264395</v>
      </c>
    </row>
    <row r="224" spans="2:16" x14ac:dyDescent="0.25">
      <c r="F224" s="15"/>
    </row>
    <row r="225" spans="2:16" x14ac:dyDescent="0.25">
      <c r="D225" t="s">
        <v>166</v>
      </c>
      <c r="F225" s="15" t="s">
        <v>20</v>
      </c>
      <c r="L225">
        <f ca="1">L221*L219</f>
        <v>76.508613323193103</v>
      </c>
      <c r="M225">
        <f t="shared" ref="M225:P225" ca="1" si="96">M221*M219</f>
        <v>97.594949851027138</v>
      </c>
      <c r="N225">
        <f t="shared" ca="1" si="96"/>
        <v>94.011305898200362</v>
      </c>
      <c r="O225">
        <f t="shared" ca="1" si="96"/>
        <v>80.075548612774114</v>
      </c>
      <c r="P225">
        <f t="shared" ca="1" si="96"/>
        <v>86.275820285425382</v>
      </c>
    </row>
    <row r="226" spans="2:16" x14ac:dyDescent="0.25">
      <c r="F226" s="15"/>
    </row>
    <row r="227" spans="2:16" x14ac:dyDescent="0.25">
      <c r="D227" t="s">
        <v>167</v>
      </c>
      <c r="F227" s="15" t="s">
        <v>20</v>
      </c>
      <c r="L227">
        <f ca="1">L223*L219</f>
        <v>66.008613323193103</v>
      </c>
      <c r="M227">
        <f t="shared" ref="M227:P227" ca="1" si="97">M223*M219</f>
        <v>87.094949851027138</v>
      </c>
      <c r="N227">
        <f t="shared" ca="1" si="97"/>
        <v>83.511305898200362</v>
      </c>
      <c r="O227">
        <f t="shared" ca="1" si="97"/>
        <v>69.575548612774114</v>
      </c>
      <c r="P227">
        <f t="shared" ca="1" si="97"/>
        <v>75.775820285425382</v>
      </c>
    </row>
    <row r="228" spans="2:16" x14ac:dyDescent="0.25">
      <c r="D228" t="s">
        <v>168</v>
      </c>
      <c r="F228" s="15" t="s">
        <v>20</v>
      </c>
      <c r="L228">
        <f>L222*L219</f>
        <v>10.5</v>
      </c>
      <c r="M228">
        <f t="shared" ref="M228:P228" si="98">M222*M219</f>
        <v>10.5</v>
      </c>
      <c r="N228">
        <f t="shared" si="98"/>
        <v>10.5</v>
      </c>
      <c r="O228">
        <f t="shared" si="98"/>
        <v>10.5</v>
      </c>
      <c r="P228">
        <f t="shared" si="98"/>
        <v>10.5</v>
      </c>
    </row>
    <row r="229" spans="2:16" x14ac:dyDescent="0.25">
      <c r="D229" s="1" t="s">
        <v>222</v>
      </c>
      <c r="F229" s="15" t="s">
        <v>20</v>
      </c>
      <c r="L229" s="111">
        <f ca="1">SUM(L227:L228)</f>
        <v>76.508613323193103</v>
      </c>
      <c r="M229" s="111">
        <f t="shared" ref="M229:P229" ca="1" si="99">SUM(M227:M228)</f>
        <v>97.594949851027138</v>
      </c>
      <c r="N229" s="111">
        <f t="shared" ca="1" si="99"/>
        <v>94.011305898200362</v>
      </c>
      <c r="O229" s="111">
        <f t="shared" ca="1" si="99"/>
        <v>80.075548612774114</v>
      </c>
      <c r="P229" s="111">
        <f t="shared" ca="1" si="99"/>
        <v>86.275820285425382</v>
      </c>
    </row>
    <row r="230" spans="2:16" x14ac:dyDescent="0.25">
      <c r="F230" s="15"/>
    </row>
    <row r="231" spans="2:16" x14ac:dyDescent="0.25">
      <c r="D231" t="s">
        <v>169</v>
      </c>
      <c r="F231" s="15"/>
      <c r="L231">
        <f ca="1">L225-L229</f>
        <v>0</v>
      </c>
      <c r="M231">
        <f t="shared" ref="M231:P231" ca="1" si="100">M225-M229</f>
        <v>0</v>
      </c>
      <c r="N231">
        <f t="shared" ca="1" si="100"/>
        <v>0</v>
      </c>
      <c r="O231">
        <f t="shared" ca="1" si="100"/>
        <v>0</v>
      </c>
      <c r="P231">
        <f t="shared" ca="1" si="100"/>
        <v>0</v>
      </c>
    </row>
    <row r="232" spans="2:16" x14ac:dyDescent="0.25">
      <c r="F232" s="15"/>
    </row>
    <row r="233" spans="2:16" ht="15.55" x14ac:dyDescent="0.3">
      <c r="B233" s="115" t="s">
        <v>170</v>
      </c>
      <c r="C233" s="39"/>
      <c r="D233" s="39"/>
      <c r="E233" s="39"/>
      <c r="F233" s="31"/>
      <c r="G233" s="39"/>
      <c r="H233" s="39"/>
      <c r="I233" s="39"/>
      <c r="J233" s="39"/>
      <c r="K233" s="39"/>
      <c r="L233" s="39"/>
      <c r="M233" s="39"/>
      <c r="N233" s="39"/>
      <c r="O233" s="39"/>
      <c r="P233" s="39"/>
    </row>
    <row r="234" spans="2:16" x14ac:dyDescent="0.25">
      <c r="F234" s="15"/>
    </row>
    <row r="235" spans="2:16" x14ac:dyDescent="0.25">
      <c r="D235" t="s">
        <v>171</v>
      </c>
      <c r="F235" s="15" t="s">
        <v>115</v>
      </c>
      <c r="I235" s="55">
        <f>Input!I74</f>
        <v>365</v>
      </c>
      <c r="J235" s="55">
        <f>Input!J74</f>
        <v>366</v>
      </c>
      <c r="K235" s="55">
        <f>Input!K74</f>
        <v>365</v>
      </c>
      <c r="L235" s="55">
        <f>Input!L74</f>
        <v>365</v>
      </c>
      <c r="M235" s="55">
        <f>Input!M74</f>
        <v>365</v>
      </c>
      <c r="N235" s="55">
        <f>Input!N74</f>
        <v>366</v>
      </c>
      <c r="O235" s="55">
        <f>Input!O74</f>
        <v>365</v>
      </c>
      <c r="P235" s="55">
        <f>Input!P74</f>
        <v>365</v>
      </c>
    </row>
    <row r="236" spans="2:16" x14ac:dyDescent="0.25">
      <c r="F236" s="15"/>
    </row>
    <row r="237" spans="2:16" x14ac:dyDescent="0.25">
      <c r="D237" t="s">
        <v>172</v>
      </c>
      <c r="F237" s="15" t="s">
        <v>20</v>
      </c>
      <c r="I237" s="117">
        <f t="shared" ref="I237:P237" si="101">I12</f>
        <v>520</v>
      </c>
      <c r="J237" s="117">
        <f t="shared" si="101"/>
        <v>515.5</v>
      </c>
      <c r="K237" s="117">
        <f t="shared" si="101"/>
        <v>532</v>
      </c>
      <c r="L237" s="117">
        <f t="shared" si="101"/>
        <v>559.49112500000001</v>
      </c>
      <c r="M237" s="117">
        <f t="shared" si="101"/>
        <v>652.44488516624995</v>
      </c>
      <c r="N237" s="117">
        <f t="shared" si="101"/>
        <v>678.17707496446656</v>
      </c>
      <c r="O237" s="117">
        <f t="shared" si="101"/>
        <v>682.19360963006238</v>
      </c>
      <c r="P237" s="117">
        <f t="shared" si="101"/>
        <v>734.28791854435747</v>
      </c>
    </row>
    <row r="238" spans="2:16" x14ac:dyDescent="0.25">
      <c r="D238" t="s">
        <v>98</v>
      </c>
      <c r="F238" s="15" t="s">
        <v>20</v>
      </c>
      <c r="I238" s="117">
        <f t="shared" ref="I238:P238" si="102">I14</f>
        <v>164.13000000000002</v>
      </c>
      <c r="J238" s="117">
        <f t="shared" si="102"/>
        <v>184.5</v>
      </c>
      <c r="K238" s="117">
        <f t="shared" si="102"/>
        <v>196.88</v>
      </c>
      <c r="L238" s="117">
        <f t="shared" si="102"/>
        <v>205.76903333333331</v>
      </c>
      <c r="M238" s="117">
        <f t="shared" si="102"/>
        <v>212.97094949999996</v>
      </c>
      <c r="N238" s="117">
        <f t="shared" si="102"/>
        <v>219.360077985</v>
      </c>
      <c r="O238" s="117">
        <f t="shared" si="102"/>
        <v>226.37960048052003</v>
      </c>
      <c r="P238" s="117">
        <f t="shared" si="102"/>
        <v>234.30288649733819</v>
      </c>
    </row>
    <row r="239" spans="2:16" x14ac:dyDescent="0.25">
      <c r="F239" s="15"/>
    </row>
    <row r="240" spans="2:16" x14ac:dyDescent="0.25">
      <c r="C240" s="49" t="s">
        <v>114</v>
      </c>
      <c r="F240" s="15"/>
    </row>
    <row r="241" spans="3:16" x14ac:dyDescent="0.25">
      <c r="D241" t="str">
        <f>D248</f>
        <v>Accounts Receivable</v>
      </c>
      <c r="F241" s="15" t="s">
        <v>115</v>
      </c>
      <c r="I241" s="55">
        <f>Input!I88</f>
        <v>33.533205128205125</v>
      </c>
      <c r="J241" s="55">
        <f>Input!J88</f>
        <v>35.821377303588754</v>
      </c>
      <c r="K241" s="55">
        <f>Input!K88</f>
        <v>34.688721804511282</v>
      </c>
      <c r="L241" s="55">
        <f>Input!L88</f>
        <v>34.700000000000003</v>
      </c>
      <c r="M241" s="55">
        <f>Input!M88</f>
        <v>35.1</v>
      </c>
      <c r="N241" s="55">
        <f>Input!N88</f>
        <v>34.799999999999997</v>
      </c>
      <c r="O241" s="55">
        <f>Input!O88</f>
        <v>34.9</v>
      </c>
      <c r="P241" s="55">
        <f>Input!P88</f>
        <v>34.9</v>
      </c>
    </row>
    <row r="242" spans="3:16" x14ac:dyDescent="0.25">
      <c r="D242" t="str">
        <f>D249</f>
        <v>Inventory</v>
      </c>
      <c r="F242" s="15" t="s">
        <v>115</v>
      </c>
      <c r="I242" s="55">
        <f>Input!I89</f>
        <v>25.004379150673245</v>
      </c>
      <c r="J242" s="55">
        <f>Input!J89</f>
        <v>25.545609756097566</v>
      </c>
      <c r="K242" s="55">
        <f>Input!K89</f>
        <v>25.164662484762292</v>
      </c>
      <c r="L242" s="55">
        <f>Input!L89</f>
        <v>25.2</v>
      </c>
      <c r="M242" s="55">
        <f>Input!M89</f>
        <v>25.3</v>
      </c>
      <c r="N242" s="55">
        <f>Input!N89</f>
        <v>25.2</v>
      </c>
      <c r="O242" s="55">
        <f>Input!O89</f>
        <v>25.2</v>
      </c>
      <c r="P242" s="55">
        <f>Input!P89</f>
        <v>25.2</v>
      </c>
    </row>
    <row r="243" spans="3:16" x14ac:dyDescent="0.25">
      <c r="D243" t="str">
        <f>D250</f>
        <v>Other current Assets</v>
      </c>
      <c r="F243" s="15" t="s">
        <v>115</v>
      </c>
      <c r="I243" s="55">
        <f>Input!I90</f>
        <v>40.978086476167263</v>
      </c>
      <c r="J243" s="55">
        <f>Input!J90</f>
        <v>37.823306233062326</v>
      </c>
      <c r="K243" s="55">
        <f>Input!K90</f>
        <v>35.879554381687662</v>
      </c>
      <c r="L243" s="55">
        <f>Input!L90</f>
        <v>38.200000000000003</v>
      </c>
      <c r="M243" s="55">
        <f>Input!M90</f>
        <v>37.299999999999997</v>
      </c>
      <c r="N243" s="55">
        <f>Input!N90</f>
        <v>37.1</v>
      </c>
      <c r="O243" s="55">
        <f>Input!O90</f>
        <v>37.5</v>
      </c>
      <c r="P243" s="55">
        <f>Input!P90</f>
        <v>37.299999999999997</v>
      </c>
    </row>
    <row r="244" spans="3:16" x14ac:dyDescent="0.25">
      <c r="D244" t="str">
        <f>D253</f>
        <v>Accounts Payable</v>
      </c>
      <c r="F244" s="15" t="s">
        <v>115</v>
      </c>
      <c r="I244" s="55">
        <f>Input!I91</f>
        <v>40.548142732386928</v>
      </c>
      <c r="J244" s="55">
        <f>Input!J91</f>
        <v>44.858970189701893</v>
      </c>
      <c r="K244" s="55">
        <f>Input!K91</f>
        <v>40.186831233915754</v>
      </c>
      <c r="L244" s="55">
        <f>Input!L91</f>
        <v>41.9</v>
      </c>
      <c r="M244" s="55">
        <f>Input!M91</f>
        <v>42.3</v>
      </c>
      <c r="N244" s="55">
        <f>Input!N91</f>
        <v>41.5</v>
      </c>
      <c r="O244" s="55">
        <f>Input!O91</f>
        <v>41.9</v>
      </c>
      <c r="P244" s="55">
        <f>Input!P91</f>
        <v>41.9</v>
      </c>
    </row>
    <row r="245" spans="3:16" x14ac:dyDescent="0.25">
      <c r="D245" t="str">
        <f>D254</f>
        <v>Other Current Liabilities</v>
      </c>
      <c r="F245" s="15" t="s">
        <v>115</v>
      </c>
      <c r="I245" s="55">
        <f>Input!I92</f>
        <v>41.015150592010393</v>
      </c>
      <c r="J245" s="55">
        <f>Input!J92</f>
        <v>37.97208672086721</v>
      </c>
      <c r="K245" s="55">
        <f>Input!K92</f>
        <v>36.034047812542326</v>
      </c>
      <c r="L245" s="55">
        <f>Input!L92</f>
        <v>38.299999999999997</v>
      </c>
      <c r="M245" s="55">
        <f>Input!M92</f>
        <v>37.4</v>
      </c>
      <c r="N245" s="55">
        <f>Input!N92</f>
        <v>37.200000000000003</v>
      </c>
      <c r="O245" s="55">
        <f>Input!O92</f>
        <v>37.6</v>
      </c>
      <c r="P245" s="55">
        <f>Input!P92</f>
        <v>37.4</v>
      </c>
    </row>
    <row r="246" spans="3:16" x14ac:dyDescent="0.25">
      <c r="F246" s="15"/>
    </row>
    <row r="247" spans="3:16" x14ac:dyDescent="0.25">
      <c r="C247" s="49" t="s">
        <v>111</v>
      </c>
      <c r="F247" s="15"/>
    </row>
    <row r="248" spans="3:16" x14ac:dyDescent="0.25">
      <c r="D248" t="str">
        <f>Input!D81</f>
        <v>Accounts Receivable</v>
      </c>
      <c r="F248" s="15" t="s">
        <v>20</v>
      </c>
      <c r="I248" s="55">
        <f>Input!I81</f>
        <v>47.773333333333333</v>
      </c>
      <c r="J248" s="55">
        <f>Input!J81</f>
        <v>50.453333333333333</v>
      </c>
      <c r="K248" s="55">
        <f>Input!K81</f>
        <v>50.56</v>
      </c>
      <c r="L248">
        <f>L241*L$237/L$235</f>
        <v>53.189978184931512</v>
      </c>
      <c r="M248">
        <f>M241*M$237/M$235</f>
        <v>62.741960189959933</v>
      </c>
      <c r="N248">
        <f>N241*N$237/N$235</f>
        <v>64.482410406457461</v>
      </c>
      <c r="O248">
        <f>O241*O$237/O$235</f>
        <v>65.228923222162138</v>
      </c>
      <c r="P248">
        <f>P241*P$237/P$235</f>
        <v>70.209995499172805</v>
      </c>
    </row>
    <row r="249" spans="3:16" x14ac:dyDescent="0.25">
      <c r="D249" t="str">
        <f>Input!D82</f>
        <v>Inventory</v>
      </c>
      <c r="F249" s="15" t="s">
        <v>20</v>
      </c>
      <c r="I249" s="55">
        <f>Input!I82</f>
        <v>11.24375</v>
      </c>
      <c r="J249" s="55">
        <f>Input!J82</f>
        <v>12.877500000000001</v>
      </c>
      <c r="K249" s="55">
        <f>Input!K82</f>
        <v>13.57375</v>
      </c>
      <c r="L249">
        <f t="shared" ref="L249:P250" si="103">L242*L$238/L$235</f>
        <v>14.206519561643834</v>
      </c>
      <c r="M249">
        <f t="shared" si="103"/>
        <v>14.762095951643833</v>
      </c>
      <c r="N249">
        <f t="shared" si="103"/>
        <v>15.103480779295083</v>
      </c>
      <c r="O249">
        <f t="shared" si="103"/>
        <v>15.629495704408505</v>
      </c>
      <c r="P249">
        <f t="shared" si="103"/>
        <v>16.1765280540628</v>
      </c>
    </row>
    <row r="250" spans="3:16" x14ac:dyDescent="0.25">
      <c r="D250" t="str">
        <f>Input!D83</f>
        <v>Other current Assets</v>
      </c>
      <c r="F250" s="15" t="s">
        <v>20</v>
      </c>
      <c r="I250" s="65">
        <f>Input!I83</f>
        <v>18.426666666666666</v>
      </c>
      <c r="J250" s="65">
        <f>Input!J83</f>
        <v>19.066666666666666</v>
      </c>
      <c r="K250" s="65">
        <f>Input!K83</f>
        <v>19.353333333333332</v>
      </c>
      <c r="L250">
        <f t="shared" si="103"/>
        <v>21.535279652968036</v>
      </c>
      <c r="M250">
        <f t="shared" si="103"/>
        <v>21.763880592739721</v>
      </c>
      <c r="N250">
        <f t="shared" si="103"/>
        <v>22.235680036184426</v>
      </c>
      <c r="O250">
        <f t="shared" si="103"/>
        <v>23.258178131560275</v>
      </c>
      <c r="P250">
        <f t="shared" si="103"/>
        <v>23.943829222878666</v>
      </c>
    </row>
    <row r="251" spans="3:16" x14ac:dyDescent="0.25">
      <c r="D251" s="1" t="s">
        <v>173</v>
      </c>
      <c r="F251" s="15" t="s">
        <v>20</v>
      </c>
      <c r="I251" s="111">
        <f>SUM(I248:I250)</f>
        <v>77.443749999999994</v>
      </c>
      <c r="J251" s="111">
        <f t="shared" ref="J251" si="104">SUM(J248:J250)</f>
        <v>82.397499999999994</v>
      </c>
      <c r="K251" s="111">
        <f t="shared" ref="K251" si="105">SUM(K248:K250)</f>
        <v>83.487083333333345</v>
      </c>
      <c r="L251" s="111">
        <f t="shared" ref="L251" si="106">SUM(L248:L250)</f>
        <v>88.931777399543392</v>
      </c>
      <c r="M251" s="111">
        <f t="shared" ref="M251" si="107">SUM(M248:M250)</f>
        <v>99.267936734343493</v>
      </c>
      <c r="N251" s="111">
        <f t="shared" ref="N251" si="108">SUM(N248:N250)</f>
        <v>101.82157122193698</v>
      </c>
      <c r="O251" s="111">
        <f t="shared" ref="O251" si="109">SUM(O248:O250)</f>
        <v>104.11659705813091</v>
      </c>
      <c r="P251" s="111">
        <f t="shared" ref="P251" si="110">SUM(P248:P250)</f>
        <v>110.33035277611427</v>
      </c>
    </row>
    <row r="253" spans="3:16" x14ac:dyDescent="0.25">
      <c r="D253" t="str">
        <f>Input!D84</f>
        <v>Accounts Payable</v>
      </c>
      <c r="F253" s="15" t="s">
        <v>20</v>
      </c>
      <c r="I253" s="55">
        <f>Input!I84</f>
        <v>18.233333333333334</v>
      </c>
      <c r="J253" s="55">
        <f>Input!J84</f>
        <v>22.613333333333333</v>
      </c>
      <c r="K253" s="55">
        <f>Input!K84</f>
        <v>21.676666666666666</v>
      </c>
      <c r="L253">
        <f t="shared" ref="L253:P254" si="111">L244*L$238/L$235</f>
        <v>23.621157525114153</v>
      </c>
      <c r="M253">
        <f t="shared" si="111"/>
        <v>24.681290859863008</v>
      </c>
      <c r="N253">
        <f t="shared" si="111"/>
        <v>24.872795727807375</v>
      </c>
      <c r="O253">
        <f t="shared" si="111"/>
        <v>25.987137698996683</v>
      </c>
      <c r="P253">
        <f t="shared" si="111"/>
        <v>26.896687518461562</v>
      </c>
    </row>
    <row r="254" spans="3:16" x14ac:dyDescent="0.25">
      <c r="D254" t="str">
        <f>Input!D85</f>
        <v>Other Current Liabilities</v>
      </c>
      <c r="F254" s="15" t="s">
        <v>20</v>
      </c>
      <c r="I254" s="55">
        <f>Input!I85</f>
        <v>18.443333333333335</v>
      </c>
      <c r="J254" s="55">
        <f>Input!J85</f>
        <v>19.141666666666666</v>
      </c>
      <c r="K254" s="55">
        <f>Input!K85</f>
        <v>19.436666666666667</v>
      </c>
      <c r="L254">
        <f t="shared" si="111"/>
        <v>21.591654730593604</v>
      </c>
      <c r="M254">
        <f t="shared" si="111"/>
        <v>21.822228798082186</v>
      </c>
      <c r="N254">
        <f t="shared" si="111"/>
        <v>22.295614483721312</v>
      </c>
      <c r="O254">
        <f t="shared" si="111"/>
        <v>23.320199939911106</v>
      </c>
      <c r="P254">
        <f t="shared" si="111"/>
        <v>24.008021794521778</v>
      </c>
    </row>
    <row r="255" spans="3:16" x14ac:dyDescent="0.25">
      <c r="D255" s="1" t="s">
        <v>174</v>
      </c>
      <c r="F255" s="15" t="s">
        <v>20</v>
      </c>
      <c r="I255" s="111">
        <f>SUM(I253:I254)</f>
        <v>36.676666666666669</v>
      </c>
      <c r="J255" s="111">
        <f t="shared" ref="J255:K255" si="112">SUM(J253:J254)</f>
        <v>41.754999999999995</v>
      </c>
      <c r="K255" s="111">
        <f t="shared" si="112"/>
        <v>41.11333333333333</v>
      </c>
      <c r="L255" s="111">
        <f>SUM(L253:L254)</f>
        <v>45.21281225570776</v>
      </c>
      <c r="M255" s="111">
        <f t="shared" ref="M255:P255" si="113">SUM(M253:M254)</f>
        <v>46.503519657945191</v>
      </c>
      <c r="N255" s="111">
        <f t="shared" si="113"/>
        <v>47.168410211528688</v>
      </c>
      <c r="O255" s="111">
        <f t="shared" si="113"/>
        <v>49.307337638907789</v>
      </c>
      <c r="P255" s="111">
        <f t="shared" si="113"/>
        <v>50.904709312983343</v>
      </c>
    </row>
    <row r="256" spans="3:16" x14ac:dyDescent="0.25">
      <c r="D256" s="1"/>
      <c r="F256" s="15"/>
    </row>
    <row r="257" spans="2:16" x14ac:dyDescent="0.25">
      <c r="D257" s="1" t="s">
        <v>176</v>
      </c>
      <c r="F257" s="15" t="s">
        <v>20</v>
      </c>
      <c r="I257" s="111">
        <f t="shared" ref="I257:P257" si="114">I251-I255</f>
        <v>40.767083333333325</v>
      </c>
      <c r="J257" s="111">
        <f t="shared" si="114"/>
        <v>40.642499999999998</v>
      </c>
      <c r="K257" s="111">
        <f t="shared" si="114"/>
        <v>42.373750000000015</v>
      </c>
      <c r="L257" s="111">
        <f t="shared" si="114"/>
        <v>43.718965143835632</v>
      </c>
      <c r="M257" s="111">
        <f t="shared" si="114"/>
        <v>52.764417076398303</v>
      </c>
      <c r="N257" s="111">
        <f t="shared" si="114"/>
        <v>54.65316101040829</v>
      </c>
      <c r="O257" s="111">
        <f t="shared" si="114"/>
        <v>54.809259419223118</v>
      </c>
      <c r="P257" s="111">
        <f t="shared" si="114"/>
        <v>59.425643463130925</v>
      </c>
    </row>
    <row r="258" spans="2:16" x14ac:dyDescent="0.25">
      <c r="D258" s="1"/>
      <c r="F258" s="15"/>
    </row>
    <row r="259" spans="2:16" x14ac:dyDescent="0.25">
      <c r="D259" s="66" t="s">
        <v>177</v>
      </c>
      <c r="E259" s="9"/>
      <c r="F259" s="67" t="s">
        <v>20</v>
      </c>
      <c r="G259" s="9"/>
      <c r="H259" s="9"/>
      <c r="I259" s="9"/>
      <c r="J259" s="9">
        <f>I257-J257</f>
        <v>0.12458333333332661</v>
      </c>
      <c r="K259" s="9">
        <f t="shared" ref="K259:P259" si="115">J257-K257</f>
        <v>-1.7312500000000171</v>
      </c>
      <c r="L259" s="9">
        <f t="shared" si="115"/>
        <v>-1.3452151438356168</v>
      </c>
      <c r="M259" s="9">
        <f t="shared" si="115"/>
        <v>-9.0454519325626705</v>
      </c>
      <c r="N259" s="9">
        <f t="shared" si="115"/>
        <v>-1.8887439340099874</v>
      </c>
      <c r="O259" s="9">
        <f t="shared" si="115"/>
        <v>-0.15609840881482739</v>
      </c>
      <c r="P259" s="10">
        <f t="shared" si="115"/>
        <v>-4.6163840439078072</v>
      </c>
    </row>
    <row r="260" spans="2:16" x14ac:dyDescent="0.25">
      <c r="F260" s="15"/>
    </row>
    <row r="261" spans="2:16" ht="15.55" x14ac:dyDescent="0.3">
      <c r="B261" s="115" t="s">
        <v>175</v>
      </c>
      <c r="C261" s="39"/>
      <c r="D261" s="39"/>
      <c r="E261" s="39"/>
      <c r="F261" s="31"/>
      <c r="G261" s="39"/>
      <c r="H261" s="39"/>
      <c r="I261" s="39"/>
      <c r="J261" s="39"/>
      <c r="K261" s="39"/>
      <c r="L261" s="39"/>
      <c r="M261" s="39"/>
      <c r="N261" s="39"/>
      <c r="O261" s="39"/>
      <c r="P261" s="39"/>
    </row>
    <row r="262" spans="2:16" x14ac:dyDescent="0.25">
      <c r="F262" s="15"/>
    </row>
    <row r="263" spans="2:16" x14ac:dyDescent="0.25">
      <c r="C263" s="49" t="s">
        <v>69</v>
      </c>
      <c r="F263" s="15"/>
    </row>
    <row r="264" spans="2:16" x14ac:dyDescent="0.25">
      <c r="D264" t="s">
        <v>178</v>
      </c>
      <c r="F264" s="15" t="s">
        <v>20</v>
      </c>
      <c r="L264">
        <f>K266</f>
        <v>1.0933333333333333</v>
      </c>
      <c r="M264">
        <f t="shared" ref="M264:P264" si="116">L266</f>
        <v>1.0933333333333333</v>
      </c>
      <c r="N264">
        <f t="shared" si="116"/>
        <v>96.093333333333334</v>
      </c>
      <c r="O264">
        <f t="shared" si="116"/>
        <v>96.093333333333334</v>
      </c>
      <c r="P264">
        <f t="shared" si="116"/>
        <v>96.093333333333334</v>
      </c>
    </row>
    <row r="265" spans="2:16" x14ac:dyDescent="0.25">
      <c r="D265" t="s">
        <v>128</v>
      </c>
      <c r="F265" s="15" t="s">
        <v>20</v>
      </c>
      <c r="L265" s="55">
        <f>Input!L123</f>
        <v>0</v>
      </c>
      <c r="M265" s="55">
        <f>Input!M123</f>
        <v>95</v>
      </c>
      <c r="N265" s="55">
        <f>Input!N123</f>
        <v>0</v>
      </c>
      <c r="O265" s="55">
        <f>Input!O123</f>
        <v>0</v>
      </c>
      <c r="P265" s="55">
        <f>Input!P123</f>
        <v>0</v>
      </c>
    </row>
    <row r="266" spans="2:16" x14ac:dyDescent="0.25">
      <c r="D266" s="1" t="s">
        <v>179</v>
      </c>
      <c r="F266" s="15" t="s">
        <v>20</v>
      </c>
      <c r="K266" s="117">
        <f>K107</f>
        <v>1.0933333333333333</v>
      </c>
      <c r="L266" s="111">
        <f>SUM(L264:L265)</f>
        <v>1.0933333333333333</v>
      </c>
      <c r="M266" s="111">
        <f t="shared" ref="M266:P266" si="117">SUM(M264:M265)</f>
        <v>96.093333333333334</v>
      </c>
      <c r="N266" s="111">
        <f t="shared" si="117"/>
        <v>96.093333333333334</v>
      </c>
      <c r="O266" s="111">
        <f t="shared" si="117"/>
        <v>96.093333333333334</v>
      </c>
      <c r="P266" s="111">
        <f t="shared" si="117"/>
        <v>96.093333333333334</v>
      </c>
    </row>
    <row r="267" spans="2:16" x14ac:dyDescent="0.25">
      <c r="F267" s="15"/>
    </row>
    <row r="268" spans="2:16" x14ac:dyDescent="0.25">
      <c r="D268" t="s">
        <v>129</v>
      </c>
      <c r="F268" s="15" t="s">
        <v>21</v>
      </c>
      <c r="L268" s="58">
        <f>Input!L125</f>
        <v>7.4999999999999997E-2</v>
      </c>
      <c r="M268" s="58">
        <f>Input!M125</f>
        <v>7.4999999999999997E-2</v>
      </c>
      <c r="N268" s="58">
        <f>Input!N125</f>
        <v>7.4999999999999997E-2</v>
      </c>
      <c r="O268" s="58">
        <f>Input!O125</f>
        <v>7.4999999999999997E-2</v>
      </c>
      <c r="P268" s="58">
        <f>Input!P125</f>
        <v>7.4999999999999997E-2</v>
      </c>
    </row>
    <row r="269" spans="2:16" x14ac:dyDescent="0.25">
      <c r="F269" s="15"/>
    </row>
    <row r="270" spans="2:16" x14ac:dyDescent="0.25">
      <c r="D270" t="s">
        <v>180</v>
      </c>
      <c r="F270" s="15" t="s">
        <v>20</v>
      </c>
      <c r="L270">
        <f>L266*L268</f>
        <v>8.199999999999999E-2</v>
      </c>
      <c r="M270">
        <f t="shared" ref="M270:P270" si="118">M266*M268</f>
        <v>7.2069999999999999</v>
      </c>
      <c r="N270">
        <f t="shared" si="118"/>
        <v>7.2069999999999999</v>
      </c>
      <c r="O270">
        <f t="shared" si="118"/>
        <v>7.2069999999999999</v>
      </c>
      <c r="P270">
        <f t="shared" si="118"/>
        <v>7.2069999999999999</v>
      </c>
    </row>
    <row r="271" spans="2:16" x14ac:dyDescent="0.25">
      <c r="F271" s="15"/>
    </row>
    <row r="272" spans="2:16" x14ac:dyDescent="0.25">
      <c r="C272" s="49" t="s">
        <v>70</v>
      </c>
      <c r="F272" s="15"/>
    </row>
    <row r="273" spans="2:16" x14ac:dyDescent="0.25">
      <c r="D273" t="s">
        <v>178</v>
      </c>
      <c r="F273" s="15" t="s">
        <v>20</v>
      </c>
      <c r="L273">
        <f>K275</f>
        <v>23.091599999999996</v>
      </c>
      <c r="M273">
        <f t="shared" ref="M273:P273" si="119">L275</f>
        <v>48.0916</v>
      </c>
      <c r="N273">
        <f t="shared" si="119"/>
        <v>48.0916</v>
      </c>
      <c r="O273">
        <f t="shared" si="119"/>
        <v>23.0916</v>
      </c>
      <c r="P273">
        <f t="shared" si="119"/>
        <v>23.0916</v>
      </c>
    </row>
    <row r="274" spans="2:16" x14ac:dyDescent="0.25">
      <c r="D274" t="s">
        <v>128</v>
      </c>
      <c r="F274" s="15" t="s">
        <v>20</v>
      </c>
      <c r="L274" s="55">
        <f>Input!L128</f>
        <v>25</v>
      </c>
      <c r="M274" s="55">
        <f>Input!M128</f>
        <v>0</v>
      </c>
      <c r="N274" s="55">
        <f>Input!N128</f>
        <v>-25</v>
      </c>
      <c r="O274" s="55">
        <f>Input!O128</f>
        <v>0</v>
      </c>
      <c r="P274" s="55">
        <f>Input!P128</f>
        <v>50</v>
      </c>
    </row>
    <row r="275" spans="2:16" x14ac:dyDescent="0.25">
      <c r="D275" s="1" t="s">
        <v>179</v>
      </c>
      <c r="F275" s="15" t="s">
        <v>20</v>
      </c>
      <c r="K275" s="117">
        <f>K108</f>
        <v>23.091599999999996</v>
      </c>
      <c r="L275" s="111">
        <f>L273+L274</f>
        <v>48.0916</v>
      </c>
      <c r="M275" s="111">
        <f t="shared" ref="M275:P275" si="120">M273+M274</f>
        <v>48.0916</v>
      </c>
      <c r="N275" s="111">
        <f t="shared" si="120"/>
        <v>23.0916</v>
      </c>
      <c r="O275" s="111">
        <f t="shared" si="120"/>
        <v>23.0916</v>
      </c>
      <c r="P275" s="111">
        <f t="shared" si="120"/>
        <v>73.0916</v>
      </c>
    </row>
    <row r="276" spans="2:16" x14ac:dyDescent="0.25">
      <c r="F276" s="15"/>
    </row>
    <row r="277" spans="2:16" x14ac:dyDescent="0.25">
      <c r="D277" t="s">
        <v>129</v>
      </c>
      <c r="F277" s="15" t="s">
        <v>21</v>
      </c>
      <c r="L277" s="58">
        <f>Input!L129</f>
        <v>0.25</v>
      </c>
      <c r="M277" s="58">
        <f>Input!M129</f>
        <v>0.25</v>
      </c>
      <c r="N277" s="58">
        <f>Input!N129</f>
        <v>0.25</v>
      </c>
      <c r="O277" s="58">
        <f>Input!O129</f>
        <v>0.25</v>
      </c>
      <c r="P277" s="58">
        <f>Input!P129</f>
        <v>0.25</v>
      </c>
    </row>
    <row r="278" spans="2:16" x14ac:dyDescent="0.25">
      <c r="F278" s="15"/>
    </row>
    <row r="279" spans="2:16" x14ac:dyDescent="0.25">
      <c r="C279" s="49" t="s">
        <v>71</v>
      </c>
      <c r="F279" s="15"/>
    </row>
    <row r="280" spans="2:16" x14ac:dyDescent="0.25">
      <c r="D280" t="s">
        <v>178</v>
      </c>
      <c r="F280" s="15" t="s">
        <v>20</v>
      </c>
      <c r="L280">
        <f>K283</f>
        <v>23.340416666666663</v>
      </c>
      <c r="M280">
        <f t="shared" ref="M280:P280" ca="1" si="121">L283</f>
        <v>129.84448522397136</v>
      </c>
      <c r="N280">
        <f t="shared" ca="1" si="121"/>
        <v>260.37505823075918</v>
      </c>
      <c r="O280">
        <f t="shared" ca="1" si="121"/>
        <v>385.91412716039542</v>
      </c>
      <c r="P280">
        <f t="shared" ca="1" si="121"/>
        <v>492.04267701390222</v>
      </c>
    </row>
    <row r="281" spans="2:16" x14ac:dyDescent="0.25">
      <c r="D281" t="s">
        <v>181</v>
      </c>
      <c r="F281" s="15" t="s">
        <v>20</v>
      </c>
      <c r="L281">
        <f ca="1">L35</f>
        <v>142.00542474307292</v>
      </c>
      <c r="M281">
        <f ca="1">M35</f>
        <v>174.04076400905041</v>
      </c>
      <c r="N281">
        <f ca="1">N35</f>
        <v>167.38542523951497</v>
      </c>
      <c r="O281">
        <f ca="1">O35</f>
        <v>141.5047331380091</v>
      </c>
      <c r="P281">
        <f ca="1">P35</f>
        <v>153.01952338721856</v>
      </c>
    </row>
    <row r="282" spans="2:16" x14ac:dyDescent="0.25">
      <c r="D282" t="s">
        <v>182</v>
      </c>
      <c r="F282" s="15" t="s">
        <v>20</v>
      </c>
      <c r="L282">
        <f ca="1">L281*L277</f>
        <v>35.50135618576823</v>
      </c>
      <c r="M282">
        <f t="shared" ref="M282:P282" ca="1" si="122">M281*M277</f>
        <v>43.510191002262602</v>
      </c>
      <c r="N282">
        <f t="shared" ca="1" si="122"/>
        <v>41.846356309878743</v>
      </c>
      <c r="O282">
        <f t="shared" ca="1" si="122"/>
        <v>35.376183284502275</v>
      </c>
      <c r="P282">
        <f t="shared" ca="1" si="122"/>
        <v>38.254880846804639</v>
      </c>
    </row>
    <row r="283" spans="2:16" x14ac:dyDescent="0.25">
      <c r="D283" s="1" t="s">
        <v>179</v>
      </c>
      <c r="F283" s="15" t="s">
        <v>20</v>
      </c>
      <c r="K283" s="117">
        <f>K109</f>
        <v>23.340416666666663</v>
      </c>
      <c r="L283" s="111">
        <f ca="1">L280+L281-L282</f>
        <v>129.84448522397136</v>
      </c>
      <c r="M283" s="111">
        <f t="shared" ref="M283:P283" ca="1" si="123">M280+M281-M282</f>
        <v>260.37505823075918</v>
      </c>
      <c r="N283" s="111">
        <f t="shared" ca="1" si="123"/>
        <v>385.91412716039542</v>
      </c>
      <c r="O283" s="111">
        <f t="shared" ca="1" si="123"/>
        <v>492.04267701390222</v>
      </c>
      <c r="P283" s="111">
        <f t="shared" ca="1" si="123"/>
        <v>606.80731955431611</v>
      </c>
    </row>
    <row r="284" spans="2:16" x14ac:dyDescent="0.25">
      <c r="F284" s="15"/>
    </row>
    <row r="285" spans="2:16" ht="15.55" x14ac:dyDescent="0.3">
      <c r="B285" s="115" t="s">
        <v>185</v>
      </c>
      <c r="C285" s="39"/>
      <c r="D285" s="39"/>
      <c r="E285" s="39"/>
      <c r="F285" s="31"/>
      <c r="G285" s="39"/>
      <c r="H285" s="39"/>
      <c r="I285" s="39"/>
      <c r="J285" s="39"/>
      <c r="K285" s="39"/>
      <c r="L285" s="39"/>
      <c r="M285" s="39"/>
      <c r="N285" s="39"/>
      <c r="O285" s="39"/>
      <c r="P285" s="39"/>
    </row>
    <row r="286" spans="2:16" x14ac:dyDescent="0.25">
      <c r="F286" s="15"/>
    </row>
    <row r="287" spans="2:16" x14ac:dyDescent="0.25">
      <c r="C287" s="49" t="s">
        <v>120</v>
      </c>
      <c r="F287" s="15"/>
    </row>
    <row r="288" spans="2:16" x14ac:dyDescent="0.25">
      <c r="D288" t="str">
        <f>Input!D111</f>
        <v>Excess Cash</v>
      </c>
      <c r="F288" s="15" t="s">
        <v>21</v>
      </c>
      <c r="L288" s="62">
        <f>Input!L111</f>
        <v>0.01</v>
      </c>
      <c r="M288" s="62">
        <f>Input!M111</f>
        <v>0.01</v>
      </c>
      <c r="N288" s="62">
        <f>Input!N111</f>
        <v>0.01</v>
      </c>
      <c r="O288" s="62">
        <f>Input!O111</f>
        <v>0.01</v>
      </c>
      <c r="P288" s="62">
        <f>Input!P111</f>
        <v>0.01</v>
      </c>
    </row>
    <row r="289" spans="3:16" x14ac:dyDescent="0.25">
      <c r="D289" t="str">
        <f>Input!D105</f>
        <v>Revolver</v>
      </c>
      <c r="F289" s="15" t="s">
        <v>21</v>
      </c>
      <c r="L289" s="62">
        <f>Input!L105</f>
        <v>4.2500000000000003E-2</v>
      </c>
      <c r="M289" s="62">
        <f>Input!M105</f>
        <v>4.2500000000000003E-2</v>
      </c>
      <c r="N289" s="62">
        <f>Input!N105</f>
        <v>4.2500000000000003E-2</v>
      </c>
      <c r="O289" s="62">
        <f>Input!O105</f>
        <v>4.2500000000000003E-2</v>
      </c>
      <c r="P289" s="62">
        <f>Input!P105</f>
        <v>4.2500000000000003E-2</v>
      </c>
    </row>
    <row r="290" spans="3:16" x14ac:dyDescent="0.25">
      <c r="D290" t="str">
        <f>Input!D103</f>
        <v>Fixed rate term debt</v>
      </c>
      <c r="F290" s="15" t="s">
        <v>21</v>
      </c>
      <c r="L290" s="62">
        <f>Input!L103</f>
        <v>4.2500000000000003E-2</v>
      </c>
      <c r="M290" s="62">
        <f>Input!M103</f>
        <v>4.2500000000000003E-2</v>
      </c>
      <c r="N290" s="62">
        <f>Input!N103</f>
        <v>4.2500000000000003E-2</v>
      </c>
      <c r="O290" s="62">
        <f>Input!O103</f>
        <v>4.2500000000000003E-2</v>
      </c>
      <c r="P290" s="62">
        <f>Input!P103</f>
        <v>4.2500000000000003E-2</v>
      </c>
    </row>
    <row r="291" spans="3:16" x14ac:dyDescent="0.25">
      <c r="D291" t="str">
        <f>Input!D109</f>
        <v>LIBOR</v>
      </c>
      <c r="F291" s="15" t="s">
        <v>21</v>
      </c>
      <c r="L291" s="62">
        <f>Input!L109</f>
        <v>1.0999999999999999E-2</v>
      </c>
      <c r="M291" s="62">
        <f>Input!M109</f>
        <v>1.0999999999999999E-2</v>
      </c>
      <c r="N291" s="62">
        <f>Input!N109</f>
        <v>1.0999999999999999E-2</v>
      </c>
      <c r="O291" s="62">
        <f>Input!O109</f>
        <v>1.0999999999999999E-2</v>
      </c>
      <c r="P291" s="62">
        <f>Input!P109</f>
        <v>1.0999999999999999E-2</v>
      </c>
    </row>
    <row r="292" spans="3:16" x14ac:dyDescent="0.25">
      <c r="D292" t="str">
        <f>Input!D107</f>
        <v>Variable rate term debt</v>
      </c>
      <c r="F292" s="15" t="s">
        <v>21</v>
      </c>
      <c r="L292" s="58">
        <f>Input!L107</f>
        <v>2.2499999999999999E-2</v>
      </c>
      <c r="M292" s="58">
        <f>Input!M107</f>
        <v>2.2499999999999999E-2</v>
      </c>
      <c r="N292" s="58">
        <f>Input!N107</f>
        <v>2.2499999999999999E-2</v>
      </c>
      <c r="O292" s="58">
        <f>Input!O107</f>
        <v>2.2499999999999999E-2</v>
      </c>
      <c r="P292" s="58">
        <f>Input!P107</f>
        <v>2.2499999999999999E-2</v>
      </c>
    </row>
    <row r="293" spans="3:16" x14ac:dyDescent="0.25">
      <c r="D293" t="s">
        <v>186</v>
      </c>
      <c r="F293" s="15" t="s">
        <v>21</v>
      </c>
      <c r="L293" s="56">
        <f>L291+L292</f>
        <v>3.3500000000000002E-2</v>
      </c>
      <c r="M293" s="56">
        <f t="shared" ref="M293:P293" si="124">M291+M292</f>
        <v>3.3500000000000002E-2</v>
      </c>
      <c r="N293" s="56">
        <f t="shared" si="124"/>
        <v>3.3500000000000002E-2</v>
      </c>
      <c r="O293" s="56">
        <f t="shared" si="124"/>
        <v>3.3500000000000002E-2</v>
      </c>
      <c r="P293" s="56">
        <f t="shared" si="124"/>
        <v>3.3500000000000002E-2</v>
      </c>
    </row>
    <row r="294" spans="3:16" x14ac:dyDescent="0.25">
      <c r="F294" s="15"/>
    </row>
    <row r="295" spans="3:16" x14ac:dyDescent="0.25">
      <c r="C295" s="49" t="s">
        <v>123</v>
      </c>
      <c r="F295" s="15"/>
    </row>
    <row r="296" spans="3:16" x14ac:dyDescent="0.25">
      <c r="D296" t="s">
        <v>178</v>
      </c>
      <c r="F296" s="15" t="s">
        <v>20</v>
      </c>
      <c r="L296">
        <f>K299</f>
        <v>25.780000000000005</v>
      </c>
      <c r="M296">
        <f t="shared" ref="M296:P296" si="125">L299</f>
        <v>25.780000000000005</v>
      </c>
      <c r="N296">
        <f t="shared" si="125"/>
        <v>80</v>
      </c>
      <c r="O296">
        <f t="shared" si="125"/>
        <v>30</v>
      </c>
      <c r="P296">
        <f t="shared" si="125"/>
        <v>0</v>
      </c>
    </row>
    <row r="297" spans="3:16" x14ac:dyDescent="0.25">
      <c r="D297" t="s">
        <v>258</v>
      </c>
      <c r="F297" s="15" t="s">
        <v>20</v>
      </c>
      <c r="L297" s="55">
        <f>Input!L114</f>
        <v>0</v>
      </c>
      <c r="M297" s="55">
        <f>Input!M114</f>
        <v>80</v>
      </c>
      <c r="N297" s="55">
        <f>Input!N114</f>
        <v>0</v>
      </c>
      <c r="O297" s="55">
        <f>Input!O114</f>
        <v>0</v>
      </c>
      <c r="P297" s="55">
        <f>Input!P114</f>
        <v>0</v>
      </c>
    </row>
    <row r="298" spans="3:16" x14ac:dyDescent="0.25">
      <c r="D298" t="s">
        <v>259</v>
      </c>
      <c r="F298" s="15" t="s">
        <v>20</v>
      </c>
      <c r="L298" s="55">
        <f>MIN(Input!L115,K299)</f>
        <v>0</v>
      </c>
      <c r="M298" s="55">
        <f>MIN(Input!M115,L299)</f>
        <v>25.780000000000005</v>
      </c>
      <c r="N298" s="55">
        <f>MIN(Input!N115,M299)</f>
        <v>50</v>
      </c>
      <c r="O298" s="55">
        <f>MIN(Input!O115,N299)</f>
        <v>30</v>
      </c>
      <c r="P298" s="55">
        <f>MIN(Input!P115,O299)</f>
        <v>0</v>
      </c>
    </row>
    <row r="299" spans="3:16" x14ac:dyDescent="0.25">
      <c r="D299" s="1" t="s">
        <v>179</v>
      </c>
      <c r="F299" s="15" t="s">
        <v>20</v>
      </c>
      <c r="K299" s="117">
        <f>K100</f>
        <v>25.780000000000005</v>
      </c>
      <c r="L299" s="111">
        <f>L296+L297-L298</f>
        <v>25.780000000000005</v>
      </c>
      <c r="M299" s="111">
        <f t="shared" ref="M299:P299" si="126">M296+M297-M298</f>
        <v>80</v>
      </c>
      <c r="N299" s="111">
        <f t="shared" si="126"/>
        <v>30</v>
      </c>
      <c r="O299" s="111">
        <f t="shared" si="126"/>
        <v>0</v>
      </c>
      <c r="P299" s="111">
        <f t="shared" si="126"/>
        <v>0</v>
      </c>
    </row>
    <row r="300" spans="3:16" x14ac:dyDescent="0.25">
      <c r="F300" s="15"/>
    </row>
    <row r="301" spans="3:16" x14ac:dyDescent="0.25">
      <c r="D301" s="66" t="s">
        <v>187</v>
      </c>
      <c r="E301" s="9"/>
      <c r="F301" s="67" t="s">
        <v>20</v>
      </c>
      <c r="G301" s="9"/>
      <c r="H301" s="9"/>
      <c r="I301" s="9"/>
      <c r="J301" s="9"/>
      <c r="K301" s="9"/>
      <c r="L301" s="9">
        <f>L290*AVERAGE(L296,L299)</f>
        <v>1.0956500000000002</v>
      </c>
      <c r="M301" s="9">
        <f t="shared" ref="M301:P301" si="127">M290*AVERAGE(M296,M299)</f>
        <v>2.2478250000000002</v>
      </c>
      <c r="N301" s="9">
        <f t="shared" si="127"/>
        <v>2.3375000000000004</v>
      </c>
      <c r="O301" s="9">
        <f t="shared" si="127"/>
        <v>0.63750000000000007</v>
      </c>
      <c r="P301" s="10">
        <f t="shared" si="127"/>
        <v>0</v>
      </c>
    </row>
    <row r="302" spans="3:16" x14ac:dyDescent="0.25">
      <c r="F302" s="15"/>
    </row>
    <row r="303" spans="3:16" x14ac:dyDescent="0.25">
      <c r="C303" s="49" t="s">
        <v>126</v>
      </c>
      <c r="F303" s="15"/>
    </row>
    <row r="304" spans="3:16" x14ac:dyDescent="0.25">
      <c r="D304" t="s">
        <v>178</v>
      </c>
      <c r="F304" s="15" t="s">
        <v>20</v>
      </c>
      <c r="L304">
        <f>K307</f>
        <v>30.533333333333335</v>
      </c>
      <c r="M304">
        <f t="shared" ref="M304:P304" si="128">L307</f>
        <v>0</v>
      </c>
      <c r="N304">
        <f t="shared" si="128"/>
        <v>30</v>
      </c>
      <c r="O304">
        <f t="shared" si="128"/>
        <v>0</v>
      </c>
      <c r="P304">
        <f t="shared" si="128"/>
        <v>30</v>
      </c>
    </row>
    <row r="305" spans="3:16" x14ac:dyDescent="0.25">
      <c r="D305" t="s">
        <v>258</v>
      </c>
      <c r="F305" s="15" t="s">
        <v>20</v>
      </c>
      <c r="L305" s="55">
        <f>Input!L117</f>
        <v>0</v>
      </c>
      <c r="M305" s="55">
        <f>Input!M117</f>
        <v>30</v>
      </c>
      <c r="N305" s="55">
        <f>Input!N117</f>
        <v>0</v>
      </c>
      <c r="O305" s="55">
        <f>Input!O117</f>
        <v>30</v>
      </c>
      <c r="P305" s="55">
        <f>Input!P117</f>
        <v>0</v>
      </c>
    </row>
    <row r="306" spans="3:16" x14ac:dyDescent="0.25">
      <c r="D306" t="s">
        <v>259</v>
      </c>
      <c r="F306" s="15" t="s">
        <v>20</v>
      </c>
      <c r="L306" s="55">
        <f>MIN(Input!L118,K307)</f>
        <v>30.533333333333335</v>
      </c>
      <c r="M306" s="55">
        <f>MIN(Input!M118,L307)</f>
        <v>0</v>
      </c>
      <c r="N306" s="55">
        <f>MIN(Input!N118,M307)</f>
        <v>30</v>
      </c>
      <c r="O306" s="55">
        <f>MIN(Input!O118,N307)</f>
        <v>0</v>
      </c>
      <c r="P306" s="55">
        <f>MIN(Input!P118,O307)</f>
        <v>30</v>
      </c>
    </row>
    <row r="307" spans="3:16" x14ac:dyDescent="0.25">
      <c r="D307" t="s">
        <v>179</v>
      </c>
      <c r="F307" s="15" t="s">
        <v>20</v>
      </c>
      <c r="K307" s="117">
        <f>K99</f>
        <v>30.533333333333335</v>
      </c>
      <c r="L307" s="111">
        <f>L304+L305-L306</f>
        <v>0</v>
      </c>
      <c r="M307" s="111">
        <f t="shared" ref="M307:P307" si="129">M304+M305-M306</f>
        <v>30</v>
      </c>
      <c r="N307" s="111">
        <f t="shared" si="129"/>
        <v>0</v>
      </c>
      <c r="O307" s="111">
        <f t="shared" si="129"/>
        <v>30</v>
      </c>
      <c r="P307" s="111">
        <f t="shared" si="129"/>
        <v>0</v>
      </c>
    </row>
    <row r="308" spans="3:16" x14ac:dyDescent="0.25">
      <c r="F308" s="15"/>
    </row>
    <row r="309" spans="3:16" x14ac:dyDescent="0.25">
      <c r="D309" s="66" t="s">
        <v>201</v>
      </c>
      <c r="E309" s="9"/>
      <c r="F309" s="67" t="s">
        <v>20</v>
      </c>
      <c r="G309" s="9"/>
      <c r="H309" s="9"/>
      <c r="I309" s="9"/>
      <c r="J309" s="9"/>
      <c r="K309" s="9"/>
      <c r="L309" s="9">
        <f>L293*AVERAGE(L304,L307)</f>
        <v>0.51143333333333341</v>
      </c>
      <c r="M309" s="9">
        <f t="shared" ref="M309:P309" si="130">M293*AVERAGE(M304,M307)</f>
        <v>0.50250000000000006</v>
      </c>
      <c r="N309" s="9">
        <f t="shared" si="130"/>
        <v>0.50250000000000006</v>
      </c>
      <c r="O309" s="9">
        <f t="shared" si="130"/>
        <v>0.50250000000000006</v>
      </c>
      <c r="P309" s="10">
        <f t="shared" si="130"/>
        <v>0.50250000000000006</v>
      </c>
    </row>
    <row r="310" spans="3:16" x14ac:dyDescent="0.25">
      <c r="F310" s="15"/>
    </row>
    <row r="311" spans="3:16" x14ac:dyDescent="0.25">
      <c r="C311" s="49" t="s">
        <v>121</v>
      </c>
      <c r="F311" s="15"/>
    </row>
    <row r="312" spans="3:16" x14ac:dyDescent="0.25">
      <c r="D312" t="s">
        <v>48</v>
      </c>
      <c r="F312" s="15" t="s">
        <v>20</v>
      </c>
      <c r="L312">
        <f>K314</f>
        <v>203.56226666666674</v>
      </c>
      <c r="M312">
        <f t="shared" ref="M312:P312" ca="1" si="131">L314</f>
        <v>244.76512008013583</v>
      </c>
      <c r="N312">
        <f t="shared" ca="1" si="131"/>
        <v>32.88090782102762</v>
      </c>
      <c r="O312">
        <f t="shared" ca="1" si="131"/>
        <v>0</v>
      </c>
      <c r="P312">
        <f t="shared" ca="1" si="131"/>
        <v>0</v>
      </c>
    </row>
    <row r="313" spans="3:16" x14ac:dyDescent="0.25">
      <c r="D313" t="s">
        <v>188</v>
      </c>
      <c r="F313" s="15" t="s">
        <v>20</v>
      </c>
      <c r="L313">
        <f ca="1">L72</f>
        <v>41.202853413469079</v>
      </c>
      <c r="M313">
        <f ca="1">M72</f>
        <v>-211.88421225910821</v>
      </c>
      <c r="N313">
        <f ca="1">N72</f>
        <v>-32.88090782102762</v>
      </c>
      <c r="O313">
        <f ca="1">O72</f>
        <v>0</v>
      </c>
      <c r="P313">
        <f ca="1">P72</f>
        <v>0</v>
      </c>
    </row>
    <row r="314" spans="3:16" x14ac:dyDescent="0.25">
      <c r="D314" t="s">
        <v>179</v>
      </c>
      <c r="F314" s="15" t="s">
        <v>20</v>
      </c>
      <c r="K314" s="117">
        <f>K79</f>
        <v>203.56226666666674</v>
      </c>
      <c r="L314" s="111">
        <f ca="1">L312+L313</f>
        <v>244.76512008013583</v>
      </c>
      <c r="M314" s="111">
        <f t="shared" ref="M314:P314" ca="1" si="132">M312+M313</f>
        <v>32.88090782102762</v>
      </c>
      <c r="N314" s="111">
        <f t="shared" ca="1" si="132"/>
        <v>0</v>
      </c>
      <c r="O314" s="111">
        <f t="shared" ca="1" si="132"/>
        <v>0</v>
      </c>
      <c r="P314" s="111">
        <f t="shared" ca="1" si="132"/>
        <v>0</v>
      </c>
    </row>
    <row r="315" spans="3:16" x14ac:dyDescent="0.25">
      <c r="F315" s="15"/>
    </row>
    <row r="316" spans="3:16" x14ac:dyDescent="0.25">
      <c r="D316" s="66" t="s">
        <v>192</v>
      </c>
      <c r="E316" s="9"/>
      <c r="F316" s="67" t="s">
        <v>20</v>
      </c>
      <c r="G316" s="9"/>
      <c r="H316" s="9"/>
      <c r="I316" s="9"/>
      <c r="J316" s="9"/>
      <c r="K316" s="9"/>
      <c r="L316" s="9">
        <f ca="1">L288*AVERAGE(L312,L314)</f>
        <v>2.241636933734013</v>
      </c>
      <c r="M316" s="9">
        <f t="shared" ref="M316:P316" ca="1" si="133">M288*AVERAGE(M312,M314)</f>
        <v>1.3882301395058172</v>
      </c>
      <c r="N316" s="9">
        <f t="shared" ca="1" si="133"/>
        <v>0.16440453910513811</v>
      </c>
      <c r="O316" s="9">
        <f t="shared" ca="1" si="133"/>
        <v>0</v>
      </c>
      <c r="P316" s="10">
        <f t="shared" ca="1" si="133"/>
        <v>0</v>
      </c>
    </row>
    <row r="317" spans="3:16" x14ac:dyDescent="0.25">
      <c r="F317" s="15"/>
    </row>
    <row r="318" spans="3:16" x14ac:dyDescent="0.25">
      <c r="C318" s="49" t="s">
        <v>193</v>
      </c>
      <c r="F318" s="15"/>
    </row>
    <row r="319" spans="3:16" x14ac:dyDescent="0.25">
      <c r="D319" t="s">
        <v>194</v>
      </c>
      <c r="F319" s="15" t="s">
        <v>20</v>
      </c>
      <c r="L319" s="117">
        <f ca="1">L53</f>
        <v>157.31954293257064</v>
      </c>
      <c r="M319" s="117">
        <f ca="1">M53</f>
        <v>209.61297874315437</v>
      </c>
      <c r="N319" s="117">
        <f ca="1">N53</f>
        <v>235.11434797217163</v>
      </c>
      <c r="O319" s="117">
        <f ca="1">O53</f>
        <v>235.96630139586091</v>
      </c>
      <c r="P319" s="117">
        <f ca="1">P53</f>
        <v>262.20413934331071</v>
      </c>
    </row>
    <row r="320" spans="3:16" x14ac:dyDescent="0.25">
      <c r="D320" t="s">
        <v>195</v>
      </c>
      <c r="F320" s="15" t="s">
        <v>20</v>
      </c>
      <c r="L320" s="117">
        <f>L59</f>
        <v>-75</v>
      </c>
      <c r="M320" s="117">
        <f>M59</f>
        <v>-550</v>
      </c>
      <c r="N320" s="117">
        <f>N59</f>
        <v>-200</v>
      </c>
      <c r="O320" s="117">
        <f>O59</f>
        <v>-550</v>
      </c>
      <c r="P320" s="117">
        <f>P59</f>
        <v>-25.5</v>
      </c>
    </row>
    <row r="321" spans="3:16" x14ac:dyDescent="0.25">
      <c r="D321" t="str">
        <f t="shared" ref="D321:D327" si="134">D63</f>
        <v>Variable Rate Long Term Debt Issuance / (Repayment)</v>
      </c>
      <c r="F321" s="15" t="s">
        <v>20</v>
      </c>
      <c r="L321" s="117">
        <f t="shared" ref="L321:P327" si="135">L63</f>
        <v>-30.533333333333335</v>
      </c>
      <c r="M321" s="117">
        <f t="shared" si="135"/>
        <v>30</v>
      </c>
      <c r="N321" s="117">
        <f t="shared" si="135"/>
        <v>-30</v>
      </c>
      <c r="O321" s="117">
        <f t="shared" si="135"/>
        <v>30</v>
      </c>
      <c r="P321" s="117">
        <f t="shared" si="135"/>
        <v>-30</v>
      </c>
    </row>
    <row r="322" spans="3:16" x14ac:dyDescent="0.25">
      <c r="D322" t="str">
        <f t="shared" si="134"/>
        <v>Fixed Rate Long Term Debt Issuance / (Repayment)</v>
      </c>
      <c r="F322" s="15" t="s">
        <v>20</v>
      </c>
      <c r="L322" s="117">
        <f t="shared" si="135"/>
        <v>0</v>
      </c>
      <c r="M322" s="117">
        <f t="shared" si="135"/>
        <v>54.22</v>
      </c>
      <c r="N322" s="117">
        <f t="shared" si="135"/>
        <v>-50</v>
      </c>
      <c r="O322" s="117">
        <f t="shared" si="135"/>
        <v>-30</v>
      </c>
      <c r="P322" s="117">
        <f t="shared" si="135"/>
        <v>0</v>
      </c>
    </row>
    <row r="323" spans="3:16" x14ac:dyDescent="0.25">
      <c r="D323" t="str">
        <f t="shared" si="134"/>
        <v>Preferred  Share Issuance/ (Buy-Back)</v>
      </c>
      <c r="F323" s="15" t="s">
        <v>20</v>
      </c>
      <c r="L323" s="117">
        <f t="shared" si="135"/>
        <v>0</v>
      </c>
      <c r="M323" s="117">
        <f t="shared" si="135"/>
        <v>95</v>
      </c>
      <c r="N323" s="117">
        <f t="shared" si="135"/>
        <v>0</v>
      </c>
      <c r="O323" s="117">
        <f t="shared" si="135"/>
        <v>0</v>
      </c>
      <c r="P323" s="117">
        <f t="shared" si="135"/>
        <v>0</v>
      </c>
    </row>
    <row r="324" spans="3:16" x14ac:dyDescent="0.25">
      <c r="D324" t="str">
        <f t="shared" si="134"/>
        <v>Common Share Issuance/ (Buy-Back)</v>
      </c>
      <c r="F324" s="15" t="s">
        <v>20</v>
      </c>
      <c r="L324" s="117">
        <f t="shared" si="135"/>
        <v>25</v>
      </c>
      <c r="M324" s="117">
        <f t="shared" si="135"/>
        <v>0</v>
      </c>
      <c r="N324" s="117">
        <f t="shared" si="135"/>
        <v>-25</v>
      </c>
      <c r="O324" s="117">
        <f t="shared" si="135"/>
        <v>0</v>
      </c>
      <c r="P324" s="117">
        <f t="shared" si="135"/>
        <v>50</v>
      </c>
    </row>
    <row r="325" spans="3:16" x14ac:dyDescent="0.25">
      <c r="D325" t="str">
        <f t="shared" si="134"/>
        <v>Preferred Dividends</v>
      </c>
      <c r="F325" s="15" t="s">
        <v>20</v>
      </c>
      <c r="L325" s="117">
        <f t="shared" si="135"/>
        <v>-8.199999999999999E-2</v>
      </c>
      <c r="M325" s="117">
        <f t="shared" si="135"/>
        <v>-7.2069999999999999</v>
      </c>
      <c r="N325" s="117">
        <f t="shared" si="135"/>
        <v>-7.2069999999999999</v>
      </c>
      <c r="O325" s="117">
        <f t="shared" si="135"/>
        <v>-7.2069999999999999</v>
      </c>
      <c r="P325" s="117">
        <f t="shared" si="135"/>
        <v>-7.2069999999999999</v>
      </c>
    </row>
    <row r="326" spans="3:16" x14ac:dyDescent="0.25">
      <c r="D326" t="str">
        <f t="shared" si="134"/>
        <v>Common Dividends</v>
      </c>
      <c r="F326" s="15" t="s">
        <v>20</v>
      </c>
      <c r="L326" s="117">
        <f t="shared" ca="1" si="135"/>
        <v>-35.50135618576823</v>
      </c>
      <c r="M326" s="117">
        <f t="shared" ca="1" si="135"/>
        <v>-43.510191002262602</v>
      </c>
      <c r="N326" s="117">
        <f t="shared" ca="1" si="135"/>
        <v>-41.846356309878743</v>
      </c>
      <c r="O326" s="117">
        <f t="shared" ca="1" si="135"/>
        <v>-35.376183284502275</v>
      </c>
      <c r="P326" s="117">
        <f t="shared" ca="1" si="135"/>
        <v>-38.254880846804639</v>
      </c>
    </row>
    <row r="327" spans="3:16" x14ac:dyDescent="0.25">
      <c r="D327" t="str">
        <f t="shared" si="134"/>
        <v>Other</v>
      </c>
      <c r="F327" s="15" t="s">
        <v>20</v>
      </c>
      <c r="L327" s="117">
        <f t="shared" si="135"/>
        <v>0</v>
      </c>
      <c r="M327" s="117">
        <f t="shared" si="135"/>
        <v>0</v>
      </c>
      <c r="N327" s="117">
        <f t="shared" si="135"/>
        <v>0</v>
      </c>
      <c r="O327" s="117">
        <f t="shared" si="135"/>
        <v>0</v>
      </c>
      <c r="P327" s="117">
        <f t="shared" si="135"/>
        <v>0</v>
      </c>
    </row>
    <row r="328" spans="3:16" x14ac:dyDescent="0.25">
      <c r="D328" s="1" t="s">
        <v>196</v>
      </c>
      <c r="F328" s="15" t="s">
        <v>20</v>
      </c>
      <c r="L328" s="111">
        <f ca="1">SUM(L319:L327)</f>
        <v>41.202853413469086</v>
      </c>
      <c r="M328" s="111">
        <f t="shared" ref="M328:P328" ca="1" si="136">SUM(M319:M327)</f>
        <v>-211.88421225910821</v>
      </c>
      <c r="N328" s="111">
        <f t="shared" ca="1" si="136"/>
        <v>-118.93900833770711</v>
      </c>
      <c r="O328" s="111">
        <f t="shared" ca="1" si="136"/>
        <v>-356.61688188864139</v>
      </c>
      <c r="P328" s="111">
        <f t="shared" ca="1" si="136"/>
        <v>211.24225849650608</v>
      </c>
    </row>
    <row r="329" spans="3:16" x14ac:dyDescent="0.25">
      <c r="F329" s="15"/>
    </row>
    <row r="330" spans="3:16" x14ac:dyDescent="0.25">
      <c r="D330" t="s">
        <v>184</v>
      </c>
      <c r="F330" s="15" t="s">
        <v>20</v>
      </c>
      <c r="L330" s="55">
        <f>Input!L141</f>
        <v>0</v>
      </c>
      <c r="M330" s="55">
        <f>Input!M141</f>
        <v>0</v>
      </c>
      <c r="N330" s="55">
        <f>Input!N141</f>
        <v>0</v>
      </c>
      <c r="O330" s="55">
        <f>Input!O141</f>
        <v>0</v>
      </c>
      <c r="P330" s="55">
        <f>Input!P141</f>
        <v>0</v>
      </c>
    </row>
    <row r="331" spans="3:16" x14ac:dyDescent="0.25">
      <c r="F331" s="15"/>
    </row>
    <row r="332" spans="3:16" x14ac:dyDescent="0.25">
      <c r="C332" s="49" t="s">
        <v>122</v>
      </c>
      <c r="F332" s="15"/>
    </row>
    <row r="333" spans="3:16" x14ac:dyDescent="0.25">
      <c r="D333" t="s">
        <v>197</v>
      </c>
      <c r="F333" s="15" t="s">
        <v>20</v>
      </c>
      <c r="L333">
        <f>K335</f>
        <v>0</v>
      </c>
      <c r="M333">
        <f t="shared" ref="M333:P333" ca="1" si="137">L335</f>
        <v>0</v>
      </c>
      <c r="N333">
        <f t="shared" ca="1" si="137"/>
        <v>0</v>
      </c>
      <c r="O333">
        <f t="shared" ca="1" si="137"/>
        <v>86.058100516679488</v>
      </c>
      <c r="P333">
        <f t="shared" ca="1" si="137"/>
        <v>442.67498240532086</v>
      </c>
    </row>
    <row r="334" spans="3:16" x14ac:dyDescent="0.25">
      <c r="D334" t="s">
        <v>198</v>
      </c>
      <c r="F334" s="15" t="s">
        <v>20</v>
      </c>
      <c r="L334">
        <f ca="1">-MIN(L333,L312+L328-L330)</f>
        <v>0</v>
      </c>
      <c r="M334">
        <f t="shared" ref="M334:P334" ca="1" si="138">-MIN(M333,M312+M328-M330)</f>
        <v>0</v>
      </c>
      <c r="N334">
        <f t="shared" ca="1" si="138"/>
        <v>86.058100516679488</v>
      </c>
      <c r="O334">
        <f t="shared" ca="1" si="138"/>
        <v>356.61688188864139</v>
      </c>
      <c r="P334">
        <f t="shared" ca="1" si="138"/>
        <v>-211.24225849650608</v>
      </c>
    </row>
    <row r="335" spans="3:16" x14ac:dyDescent="0.25">
      <c r="D335" s="1" t="s">
        <v>179</v>
      </c>
      <c r="F335" s="15" t="s">
        <v>20</v>
      </c>
      <c r="K335" s="117">
        <f>K94</f>
        <v>0</v>
      </c>
      <c r="L335" s="111">
        <f ca="1">L333+L334</f>
        <v>0</v>
      </c>
      <c r="M335" s="111">
        <f ca="1">M333+M334</f>
        <v>0</v>
      </c>
      <c r="N335" s="111">
        <f ca="1">N333+N334</f>
        <v>86.058100516679488</v>
      </c>
      <c r="O335" s="111">
        <f ca="1">O333+O334</f>
        <v>442.67498240532086</v>
      </c>
      <c r="P335" s="111">
        <f ca="1">P333+P334</f>
        <v>231.43272390881478</v>
      </c>
    </row>
    <row r="336" spans="3:16" x14ac:dyDescent="0.25">
      <c r="F336" s="15"/>
    </row>
    <row r="337" spans="3:16" x14ac:dyDescent="0.25">
      <c r="D337" s="66" t="s">
        <v>199</v>
      </c>
      <c r="E337" s="9"/>
      <c r="F337" s="67" t="s">
        <v>20</v>
      </c>
      <c r="G337" s="9"/>
      <c r="H337" s="9"/>
      <c r="I337" s="9"/>
      <c r="J337" s="9"/>
      <c r="K337" s="9"/>
      <c r="L337" s="9">
        <f ca="1">L289*AVERAGE(L333,L335)</f>
        <v>0</v>
      </c>
      <c r="M337" s="9">
        <f t="shared" ref="M337:P337" ca="1" si="139">M289*AVERAGE(M333,M335)</f>
        <v>0</v>
      </c>
      <c r="N337" s="9">
        <f t="shared" ca="1" si="139"/>
        <v>1.8287346359794392</v>
      </c>
      <c r="O337" s="9">
        <f t="shared" ca="1" si="139"/>
        <v>11.235578012092509</v>
      </c>
      <c r="P337" s="10">
        <f t="shared" ca="1" si="139"/>
        <v>14.324788759175382</v>
      </c>
    </row>
    <row r="338" spans="3:16" x14ac:dyDescent="0.25">
      <c r="F338" s="15"/>
    </row>
    <row r="339" spans="3:16" x14ac:dyDescent="0.25">
      <c r="C339" s="49" t="s">
        <v>200</v>
      </c>
      <c r="F339" s="15"/>
    </row>
    <row r="340" spans="3:16" x14ac:dyDescent="0.25">
      <c r="D340" t="str">
        <f>D301</f>
        <v>Interest expense on Fixed rate term debt</v>
      </c>
      <c r="F340" s="15" t="s">
        <v>20</v>
      </c>
      <c r="L340">
        <f>L301</f>
        <v>1.0956500000000002</v>
      </c>
      <c r="M340">
        <f t="shared" ref="M340:P340" si="140">M301</f>
        <v>2.2478250000000002</v>
      </c>
      <c r="N340">
        <f t="shared" si="140"/>
        <v>2.3375000000000004</v>
      </c>
      <c r="O340">
        <f t="shared" si="140"/>
        <v>0.63750000000000007</v>
      </c>
      <c r="P340">
        <f t="shared" si="140"/>
        <v>0</v>
      </c>
    </row>
    <row r="341" spans="3:16" x14ac:dyDescent="0.25">
      <c r="D341" t="str">
        <f>D309</f>
        <v>Interest expense on Variable rate term debt</v>
      </c>
      <c r="F341" s="15" t="s">
        <v>20</v>
      </c>
      <c r="L341">
        <f>L309</f>
        <v>0.51143333333333341</v>
      </c>
      <c r="M341">
        <f t="shared" ref="M341:P341" si="141">M309</f>
        <v>0.50250000000000006</v>
      </c>
      <c r="N341">
        <f t="shared" si="141"/>
        <v>0.50250000000000006</v>
      </c>
      <c r="O341">
        <f t="shared" si="141"/>
        <v>0.50250000000000006</v>
      </c>
      <c r="P341">
        <f t="shared" si="141"/>
        <v>0.50250000000000006</v>
      </c>
    </row>
    <row r="342" spans="3:16" x14ac:dyDescent="0.25">
      <c r="D342" t="str">
        <f>D316</f>
        <v>Interest income on excess cash</v>
      </c>
      <c r="F342" s="15" t="s">
        <v>20</v>
      </c>
      <c r="L342">
        <f ca="1">L316</f>
        <v>2.241636933734013</v>
      </c>
      <c r="M342">
        <f t="shared" ref="M342:P342" ca="1" si="142">M316</f>
        <v>1.3882301395058172</v>
      </c>
      <c r="N342">
        <f t="shared" ca="1" si="142"/>
        <v>0.16440453910513811</v>
      </c>
      <c r="O342">
        <f t="shared" ca="1" si="142"/>
        <v>0</v>
      </c>
      <c r="P342">
        <f t="shared" ca="1" si="142"/>
        <v>0</v>
      </c>
    </row>
    <row r="343" spans="3:16" x14ac:dyDescent="0.25">
      <c r="D343" t="str">
        <f>D337</f>
        <v>Interest expense on Revolver</v>
      </c>
      <c r="F343" s="15" t="s">
        <v>20</v>
      </c>
      <c r="L343">
        <f ca="1">L337</f>
        <v>0</v>
      </c>
      <c r="M343">
        <f t="shared" ref="M343:P343" ca="1" si="143">M337</f>
        <v>0</v>
      </c>
      <c r="N343">
        <f t="shared" ca="1" si="143"/>
        <v>1.8287346359794392</v>
      </c>
      <c r="O343">
        <f t="shared" ca="1" si="143"/>
        <v>11.235578012092509</v>
      </c>
      <c r="P343">
        <f t="shared" ca="1" si="143"/>
        <v>14.324788759175382</v>
      </c>
    </row>
    <row r="344" spans="3:16" x14ac:dyDescent="0.25">
      <c r="D344" s="1" t="s">
        <v>19</v>
      </c>
      <c r="F344" s="15" t="s">
        <v>20</v>
      </c>
      <c r="L344" s="111">
        <f ca="1">SUM(L340:L343)</f>
        <v>3.8487202670673466</v>
      </c>
      <c r="M344" s="111">
        <f t="shared" ref="M344:P344" ca="1" si="144">SUM(M340:M343)</f>
        <v>4.1385551395058169</v>
      </c>
      <c r="N344" s="111">
        <f t="shared" ca="1" si="144"/>
        <v>4.8331391750845771</v>
      </c>
      <c r="O344" s="111">
        <f t="shared" ca="1" si="144"/>
        <v>12.375578012092509</v>
      </c>
      <c r="P344" s="111">
        <f t="shared" ca="1" si="144"/>
        <v>14.827288759175381</v>
      </c>
    </row>
  </sheetData>
  <mergeCells count="2">
    <mergeCell ref="I3:J3"/>
    <mergeCell ref="K3:L3"/>
  </mergeCells>
  <pageMargins left="0.7" right="0.7" top="0.75" bottom="0.75" header="0.3" footer="0.3"/>
  <pageSetup scale="70" fitToHeight="0" orientation="landscape" r:id="rId1"/>
  <headerFooter>
    <oddFooter>&amp;LPrinted on: &amp;D at &amp;T&amp;C&amp;A&amp;R&amp;P of &amp;N</oddFooter>
  </headerFooter>
  <rowBreaks count="10" manualBreakCount="10">
    <brk id="44" max="16383" man="1"/>
    <brk id="75" max="16383" man="1"/>
    <brk id="116" max="16383" man="1"/>
    <brk id="162" max="15" man="1"/>
    <brk id="194" max="16383" man="1"/>
    <brk id="232" max="16383" man="1"/>
    <brk id="260" max="16383" man="1"/>
    <brk id="283" max="15" man="1"/>
    <brk id="330" max="15" man="1"/>
    <brk id="345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14</xdr:col>
                    <xdr:colOff>848563</xdr:colOff>
                    <xdr:row>1</xdr:row>
                    <xdr:rowOff>204826</xdr:rowOff>
                  </from>
                  <to>
                    <xdr:col>16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972A69AB9064D95049B970FA150B6" ma:contentTypeVersion="15" ma:contentTypeDescription="Create a new document." ma:contentTypeScope="" ma:versionID="320cbd396541b5d698802dcc8d4353a7">
  <xsd:schema xmlns:xsd="http://www.w3.org/2001/XMLSchema" xmlns:xs="http://www.w3.org/2001/XMLSchema" xmlns:p="http://schemas.microsoft.com/office/2006/metadata/properties" xmlns:ns2="30fb3514-57f3-43d7-8a04-2a0a52bb0f40" xmlns:ns3="0e11384c-db64-4a7f-b983-5ea50ecd490d" targetNamespace="http://schemas.microsoft.com/office/2006/metadata/properties" ma:root="true" ma:fieldsID="aa8aaeee1576f20d20a276985cf17052" ns2:_="" ns3:_="">
    <xsd:import namespace="30fb3514-57f3-43d7-8a04-2a0a52bb0f40"/>
    <xsd:import namespace="0e11384c-db64-4a7f-b983-5ea50ecd4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b3514-57f3-43d7-8a04-2a0a52bb0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95febbe-8800-4c16-a6d5-fe9535d6c5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1384c-db64-4a7f-b983-5ea50ecd490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2d40c2-0fae-40a6-8be7-1aa6524c18c3}" ma:internalName="TaxCatchAll" ma:showField="CatchAllData" ma:web="0e11384c-db64-4a7f-b983-5ea50ecd4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fb3514-57f3-43d7-8a04-2a0a52bb0f40">
      <Terms xmlns="http://schemas.microsoft.com/office/infopath/2007/PartnerControls"/>
    </lcf76f155ced4ddcb4097134ff3c332f>
    <TaxCatchAll xmlns="0e11384c-db64-4a7f-b983-5ea50ecd490d" xsi:nil="true"/>
  </documentManagement>
</p:properties>
</file>

<file path=customXml/itemProps1.xml><?xml version="1.0" encoding="utf-8"?>
<ds:datastoreItem xmlns:ds="http://schemas.openxmlformats.org/officeDocument/2006/customXml" ds:itemID="{F610A704-1493-4E5D-82C3-70F21385AF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1B6E4-F262-4862-A96C-FE2275C46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b3514-57f3-43d7-8a04-2a0a52bb0f40"/>
    <ds:schemaRef ds:uri="0e11384c-db64-4a7f-b983-5ea50ecd49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5B1139-938C-466B-B989-AD8390408E33}">
  <ds:schemaRefs>
    <ds:schemaRef ds:uri="http://purl.org/dc/dcmitype/"/>
    <ds:schemaRef ds:uri="30fb3514-57f3-43d7-8a04-2a0a52bb0f40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0e11384c-db64-4a7f-b983-5ea50ecd490d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</vt:lpstr>
      <vt:lpstr>Historical FS</vt:lpstr>
      <vt:lpstr>Summary</vt:lpstr>
      <vt:lpstr>Input</vt:lpstr>
      <vt:lpstr>Scenario</vt:lpstr>
      <vt:lpstr>Model</vt:lpstr>
      <vt:lpstr>L_Scenarios</vt:lpstr>
      <vt:lpstr>Million</vt:lpstr>
      <vt:lpstr>Model!Print_Area</vt:lpstr>
      <vt:lpstr>Cover!Print_Titles</vt:lpstr>
      <vt:lpstr>Input!Print_Titles</vt:lpstr>
      <vt:lpstr>Model!Print_Titles</vt:lpstr>
      <vt:lpstr>Scenario!Print_Titles</vt:lpstr>
      <vt:lpstr>Summary!Print_Titles</vt:lpstr>
      <vt:lpstr>Scenarioused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dbrown Training</dc:creator>
  <cp:lastModifiedBy>abdul samad</cp:lastModifiedBy>
  <cp:lastPrinted>2022-04-29T06:36:22Z</cp:lastPrinted>
  <dcterms:created xsi:type="dcterms:W3CDTF">2021-05-19T21:13:28Z</dcterms:created>
  <dcterms:modified xsi:type="dcterms:W3CDTF">2026-02-25T16:51:27Z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0x010100005972A69AB9064D95049B970FA150B6</vt:lpwstr>
  </property>
  <property fmtid="{D5CDD505-2E9C-101B-9397-08002B2CF9AE}" pid="3" name="MediaServiceImageTags">
    <vt:lpwstr/>
  </property>
</Properties>
</file>